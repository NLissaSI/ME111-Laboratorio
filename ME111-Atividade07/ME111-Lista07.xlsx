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liss\Desktop\Material Unicamp\1º Semestre de 2020\Laborarório (ME111)\Listas\Lista 7 (ME111)\"/>
    </mc:Choice>
  </mc:AlternateContent>
  <xr:revisionPtr revIDLastSave="0" documentId="13_ncr:1_{CDACD10E-2E3B-4A3C-B1F3-9DA338EC2A90}" xr6:coauthVersionLast="45" xr6:coauthVersionMax="45" xr10:uidLastSave="{00000000-0000-0000-0000-000000000000}"/>
  <bookViews>
    <workbookView xWindow="17436" yWindow="3372" windowWidth="11040" windowHeight="11664" firstSheet="2" activeTab="4" xr2:uid="{0E48103B-F698-4BCF-922F-58A96C7BEF2D}"/>
  </bookViews>
  <sheets>
    <sheet name="Problema 1" sheetId="1" r:id="rId1"/>
    <sheet name="Problema 2" sheetId="2" r:id="rId2"/>
    <sheet name="Problema 3" sheetId="3" r:id="rId3"/>
    <sheet name="Problema 4" sheetId="4" r:id="rId4"/>
    <sheet name="Problema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3" i="3" l="1"/>
  <c r="AB13" i="5" l="1"/>
  <c r="AA22" i="5"/>
  <c r="AC20" i="5"/>
  <c r="AB20" i="5"/>
  <c r="AC19" i="5"/>
  <c r="AB19" i="5"/>
  <c r="S22" i="5"/>
  <c r="U20" i="5"/>
  <c r="V20" i="5"/>
  <c r="T20" i="5"/>
  <c r="U19" i="5"/>
  <c r="V19" i="5"/>
  <c r="T19" i="5"/>
  <c r="K22" i="5"/>
  <c r="M20" i="5"/>
  <c r="N20" i="5"/>
  <c r="L20" i="5"/>
  <c r="M19" i="5"/>
  <c r="N19" i="5"/>
  <c r="L19" i="5"/>
  <c r="C21" i="5"/>
  <c r="D18" i="5"/>
  <c r="D19" i="5"/>
  <c r="E19" i="5"/>
  <c r="E18" i="5"/>
  <c r="F18" i="5"/>
  <c r="F19" i="5"/>
  <c r="F17" i="5"/>
  <c r="E17" i="5"/>
  <c r="D17" i="5"/>
  <c r="AC15" i="5"/>
  <c r="AB15" i="5"/>
  <c r="AC13" i="5"/>
  <c r="U15" i="5"/>
  <c r="V15" i="5"/>
  <c r="T15" i="5"/>
  <c r="U13" i="5"/>
  <c r="V13" i="5"/>
  <c r="T13" i="5"/>
  <c r="M15" i="5"/>
  <c r="L15" i="5"/>
  <c r="N15" i="5"/>
  <c r="N13" i="5"/>
  <c r="M13" i="5"/>
  <c r="L13" i="5"/>
  <c r="D12" i="5"/>
  <c r="E14" i="5"/>
  <c r="F14" i="5"/>
  <c r="D14" i="5"/>
  <c r="E13" i="5"/>
  <c r="F13" i="5"/>
  <c r="D13" i="5"/>
  <c r="F12" i="5"/>
  <c r="E12" i="5"/>
  <c r="AD6" i="5"/>
  <c r="AD4" i="5"/>
  <c r="AC8" i="5"/>
  <c r="AB8" i="5"/>
  <c r="W6" i="5"/>
  <c r="W4" i="5"/>
  <c r="W8" i="5" s="1"/>
  <c r="U8" i="5"/>
  <c r="V8" i="5"/>
  <c r="T8" i="5"/>
  <c r="M8" i="5"/>
  <c r="N8" i="5"/>
  <c r="O8" i="5"/>
  <c r="L8" i="5"/>
  <c r="O6" i="5"/>
  <c r="O4" i="5"/>
  <c r="E7" i="5"/>
  <c r="F7" i="5"/>
  <c r="G7" i="5"/>
  <c r="D7" i="5"/>
  <c r="G5" i="5"/>
  <c r="G6" i="5"/>
  <c r="G4" i="5"/>
  <c r="L7" i="4"/>
  <c r="H5" i="4"/>
  <c r="H4" i="4"/>
  <c r="I7" i="4"/>
  <c r="I8" i="4"/>
  <c r="K7" i="4"/>
  <c r="J7" i="4"/>
  <c r="C8" i="4"/>
  <c r="T5" i="3"/>
  <c r="M5" i="3"/>
  <c r="M12" i="3"/>
  <c r="T4" i="3"/>
  <c r="U4" i="3"/>
  <c r="V4" i="3"/>
  <c r="W4" i="3"/>
  <c r="S4" i="3"/>
  <c r="U3" i="3"/>
  <c r="T3" i="3"/>
  <c r="AD8" i="5" l="1"/>
  <c r="E8" i="4"/>
  <c r="D13" i="4"/>
  <c r="C13" i="4"/>
  <c r="D12" i="4"/>
  <c r="C12" i="4"/>
  <c r="C9" i="4"/>
  <c r="B9" i="4"/>
  <c r="B8" i="4"/>
  <c r="I5" i="4"/>
  <c r="I4" i="4"/>
  <c r="W3" i="3"/>
  <c r="V3" i="3"/>
  <c r="M11" i="3"/>
  <c r="N11" i="3"/>
  <c r="O11" i="3"/>
  <c r="P11" i="3"/>
  <c r="L12" i="3"/>
  <c r="N12" i="3"/>
  <c r="O12" i="3"/>
  <c r="P12" i="3"/>
  <c r="L11" i="3"/>
  <c r="L4" i="3"/>
  <c r="N5" i="3"/>
  <c r="O5" i="3"/>
  <c r="P5" i="3"/>
  <c r="N4" i="3"/>
  <c r="O4" i="3"/>
  <c r="P4" i="3"/>
  <c r="L5" i="3"/>
  <c r="M4" i="3"/>
  <c r="Y7" i="1"/>
  <c r="Y4" i="1"/>
  <c r="Z4" i="1" s="1"/>
  <c r="Z3" i="1"/>
  <c r="J54" i="1" l="1"/>
  <c r="G54" i="1"/>
  <c r="J49" i="1"/>
  <c r="G49" i="1"/>
  <c r="J44" i="1"/>
  <c r="N17" i="1" s="1"/>
  <c r="G44" i="1"/>
  <c r="J39" i="1"/>
  <c r="G39" i="1"/>
  <c r="J34" i="1"/>
  <c r="G34" i="1"/>
  <c r="J29" i="1"/>
  <c r="G29" i="1"/>
  <c r="J24" i="1"/>
  <c r="G24" i="1"/>
  <c r="J19" i="1"/>
  <c r="G19" i="1"/>
  <c r="J14" i="1"/>
  <c r="H14" i="1"/>
  <c r="G14" i="1"/>
  <c r="J4" i="1"/>
  <c r="G4" i="1"/>
  <c r="J9" i="1"/>
  <c r="G9" i="1"/>
  <c r="C54" i="1"/>
  <c r="D54" i="1" s="1"/>
  <c r="D53" i="1"/>
  <c r="C49" i="1"/>
  <c r="D49" i="1" s="1"/>
  <c r="D48" i="1"/>
  <c r="C44" i="1"/>
  <c r="D44" i="1" s="1"/>
  <c r="D43" i="1"/>
  <c r="C39" i="1"/>
  <c r="D39" i="1" s="1"/>
  <c r="D38" i="1"/>
  <c r="C34" i="1"/>
  <c r="D34" i="1" s="1"/>
  <c r="D33" i="1"/>
  <c r="C29" i="1"/>
  <c r="D29" i="1" s="1"/>
  <c r="D28" i="1"/>
  <c r="C24" i="1"/>
  <c r="D24" i="1" s="1"/>
  <c r="D23" i="1"/>
  <c r="C19" i="1"/>
  <c r="D19" i="1" s="1"/>
  <c r="D18" i="1"/>
  <c r="C14" i="1"/>
  <c r="D14" i="1" s="1"/>
  <c r="D13" i="1"/>
  <c r="C9" i="1"/>
  <c r="D9" i="1" s="1"/>
  <c r="D8" i="1"/>
  <c r="C4" i="1"/>
  <c r="D4" i="1" s="1"/>
  <c r="H29" i="1" l="1"/>
  <c r="I29" i="1" s="1"/>
  <c r="I54" i="1"/>
  <c r="H9" i="1"/>
  <c r="I9" i="1" s="1"/>
  <c r="H54" i="1"/>
  <c r="H39" i="1"/>
  <c r="I39" i="1" s="1"/>
  <c r="H44" i="1"/>
  <c r="I44" i="1" s="1"/>
  <c r="H19" i="1"/>
  <c r="I19" i="1" s="1"/>
  <c r="I14" i="1"/>
  <c r="H34" i="1"/>
  <c r="I34" i="1" s="1"/>
  <c r="H4" i="1"/>
  <c r="I4" i="1" s="1"/>
  <c r="H49" i="1"/>
  <c r="I49" i="1" s="1"/>
  <c r="H24" i="1"/>
  <c r="I24" i="1" s="1"/>
  <c r="D3" i="1" l="1"/>
</calcChain>
</file>

<file path=xl/sharedStrings.xml><?xml version="1.0" encoding="utf-8"?>
<sst xmlns="http://schemas.openxmlformats.org/spreadsheetml/2006/main" count="290" uniqueCount="74">
  <si>
    <r>
      <rPr>
        <b/>
        <sz val="11"/>
        <color theme="1"/>
        <rFont val="Calibri"/>
        <family val="2"/>
        <scheme val="minor"/>
      </rPr>
      <t>a)</t>
    </r>
    <r>
      <rPr>
        <sz val="11"/>
        <color theme="1"/>
        <rFont val="Calibri"/>
        <family val="2"/>
        <scheme val="minor"/>
      </rPr>
      <t xml:space="preserve"> </t>
    </r>
  </si>
  <si>
    <t>Ela acertou 8 xícaras com chá primeiro e leite depois</t>
  </si>
  <si>
    <t>Chá Primeiro</t>
  </si>
  <si>
    <t>Leite Primeiro</t>
  </si>
  <si>
    <t>Total</t>
  </si>
  <si>
    <t>Chá</t>
  </si>
  <si>
    <t>Leite</t>
  </si>
  <si>
    <t>Tabela Original</t>
  </si>
  <si>
    <t>x</t>
  </si>
  <si>
    <t>P(X=x)</t>
  </si>
  <si>
    <t>a/n1</t>
  </si>
  <si>
    <t>c/n2</t>
  </si>
  <si>
    <t>a/n1 - c/n2</t>
  </si>
  <si>
    <t>hipergeometrica</t>
  </si>
  <si>
    <t>P(X =&gt; 8)</t>
  </si>
  <si>
    <t>g)</t>
  </si>
  <si>
    <t>P(X =&gt; 6)</t>
  </si>
  <si>
    <t>a)</t>
  </si>
  <si>
    <t>Esperada</t>
  </si>
  <si>
    <t>Observada</t>
  </si>
  <si>
    <t>Face 1</t>
  </si>
  <si>
    <t>Face 2</t>
  </si>
  <si>
    <t>Face 3</t>
  </si>
  <si>
    <t>Face 4</t>
  </si>
  <si>
    <t>Face 5</t>
  </si>
  <si>
    <t>Face 6</t>
  </si>
  <si>
    <t>b)</t>
  </si>
  <si>
    <t>Cor</t>
  </si>
  <si>
    <t>Sabor</t>
  </si>
  <si>
    <t>Verde/Limão</t>
  </si>
  <si>
    <t>Laranja</t>
  </si>
  <si>
    <t>Roxo/Uva</t>
  </si>
  <si>
    <t>Vermelho/Morango</t>
  </si>
  <si>
    <t>Amarelo/Siciliano</t>
  </si>
  <si>
    <t>c)</t>
  </si>
  <si>
    <t>d)</t>
  </si>
  <si>
    <t>ni0</t>
  </si>
  <si>
    <t>n0j</t>
  </si>
  <si>
    <t>ni0 X n0j</t>
  </si>
  <si>
    <t>(ni0 X noj)/n</t>
  </si>
  <si>
    <t>Eij =</t>
  </si>
  <si>
    <t>Frequencia esperada</t>
  </si>
  <si>
    <t>f)</t>
  </si>
  <si>
    <t>X =</t>
  </si>
  <si>
    <t>Homem</t>
  </si>
  <si>
    <t>Mulher</t>
  </si>
  <si>
    <t>Promoção</t>
  </si>
  <si>
    <t>Não promoção</t>
  </si>
  <si>
    <t>Homens</t>
  </si>
  <si>
    <t>Mulheres</t>
  </si>
  <si>
    <t>Não Promoção</t>
  </si>
  <si>
    <t>Homens - Mulheres</t>
  </si>
  <si>
    <t>4 graus de liberdade</t>
  </si>
  <si>
    <t>Iguais</t>
  </si>
  <si>
    <t>Pé maior</t>
  </si>
  <si>
    <t>Direito</t>
  </si>
  <si>
    <t>Esquerdo</t>
  </si>
  <si>
    <t>Direita</t>
  </si>
  <si>
    <t>Esquerda</t>
  </si>
  <si>
    <t>Mão maior</t>
  </si>
  <si>
    <r>
      <t xml:space="preserve">a) </t>
    </r>
    <r>
      <rPr>
        <sz val="11"/>
        <color theme="1"/>
        <rFont val="Calibri"/>
        <family val="2"/>
        <scheme val="minor"/>
      </rPr>
      <t>Tamanho dos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Pés e das Mão</t>
    </r>
  </si>
  <si>
    <r>
      <t xml:space="preserve">b) </t>
    </r>
    <r>
      <rPr>
        <sz val="11"/>
        <color theme="1"/>
        <rFont val="Calibri"/>
        <family val="2"/>
        <scheme val="minor"/>
      </rPr>
      <t>Mão que escreve e Tamanho dos Pés</t>
    </r>
  </si>
  <si>
    <r>
      <rPr>
        <b/>
        <sz val="11"/>
        <color theme="1"/>
        <rFont val="Calibri"/>
        <family val="2"/>
        <scheme val="minor"/>
      </rPr>
      <t>c)</t>
    </r>
    <r>
      <rPr>
        <sz val="11"/>
        <color theme="1"/>
        <rFont val="Calibri"/>
        <family val="2"/>
        <scheme val="minor"/>
      </rPr>
      <t xml:space="preserve"> Gênero e Tamanho dos Pés</t>
    </r>
  </si>
  <si>
    <t xml:space="preserve">Canhoto </t>
  </si>
  <si>
    <t>Destro</t>
  </si>
  <si>
    <t>Mão dominante</t>
  </si>
  <si>
    <t>Gênero</t>
  </si>
  <si>
    <t>Feminino</t>
  </si>
  <si>
    <t>Masculino</t>
  </si>
  <si>
    <r>
      <rPr>
        <b/>
        <sz val="11"/>
        <color theme="1"/>
        <rFont val="Calibri"/>
        <family val="2"/>
        <scheme val="minor"/>
      </rPr>
      <t>d)</t>
    </r>
    <r>
      <rPr>
        <sz val="11"/>
        <color theme="1"/>
        <rFont val="Calibri"/>
        <family val="2"/>
        <scheme val="minor"/>
      </rPr>
      <t xml:space="preserve"> Genero e Mão Dominante</t>
    </r>
  </si>
  <si>
    <t>Canhoto</t>
  </si>
  <si>
    <t>Frequencia Esperada</t>
  </si>
  <si>
    <t>Estatistica de Teste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</si>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</sst>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.5"/>
      <color theme="1"/>
      <name val="Calibri Light"/>
      <family val="2"/>
    </font>
    <font>
      <b/>
      <sz val="10.5"/>
      <color rgb="FF000000"/>
      <name val="Calibri Light"/>
      <family val="2"/>
    </font>
    <font>
      <sz val="10.5"/>
      <color theme="1"/>
      <name val="Calibri Light"/>
      <family val="2"/>
    </font>
    <font>
      <sz val="10.5"/>
      <color rgb="FF000000"/>
      <name val="Calibri Light"/>
      <family val="2"/>
    </font>
    <font>
      <sz val="11"/>
      <color theme="1"/>
      <name val="Blackadder ITC"/>
      <family val="5"/>
    </font>
    <font>
      <sz val="10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rgb="FF666666"/>
      </bottom>
      <diagonal/>
    </border>
    <border>
      <left/>
      <right/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2" borderId="4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6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0" borderId="0" xfId="0" applyFill="1" applyAlignment="1"/>
    <xf numFmtId="0" fontId="0" fillId="0" borderId="0" xfId="0" applyFill="1" applyBorder="1"/>
    <xf numFmtId="0" fontId="2" fillId="0" borderId="0" xfId="0" applyFont="1" applyFill="1" applyBorder="1"/>
    <xf numFmtId="164" fontId="0" fillId="0" borderId="0" xfId="0" applyNumberFormat="1"/>
    <xf numFmtId="0" fontId="3" fillId="3" borderId="15" xfId="0" applyFont="1" applyFill="1" applyBorder="1" applyAlignment="1">
      <alignment vertical="top" wrapText="1"/>
    </xf>
    <xf numFmtId="0" fontId="4" fillId="4" borderId="16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0" borderId="6" xfId="0" applyBorder="1"/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6" xfId="0" applyFill="1" applyBorder="1"/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2" fontId="0" fillId="2" borderId="7" xfId="0" applyNumberFormat="1" applyFill="1" applyBorder="1"/>
    <xf numFmtId="2" fontId="0" fillId="2" borderId="8" xfId="0" applyNumberFormat="1" applyFill="1" applyBorder="1"/>
    <xf numFmtId="2" fontId="0" fillId="2" borderId="9" xfId="0" applyNumberFormat="1" applyFill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0" fontId="7" fillId="0" borderId="0" xfId="0" applyFont="1"/>
    <xf numFmtId="2" fontId="0" fillId="0" borderId="0" xfId="0" applyNumberFormat="1"/>
    <xf numFmtId="0" fontId="0" fillId="0" borderId="0" xfId="0" applyAlignment="1">
      <alignment horizontal="center" vertical="center"/>
    </xf>
    <xf numFmtId="0" fontId="8" fillId="0" borderId="0" xfId="0" applyFont="1"/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8" xfId="0" applyFont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2" fontId="8" fillId="0" borderId="7" xfId="0" applyNumberFormat="1" applyFont="1" applyFill="1" applyBorder="1" applyAlignment="1">
      <alignment horizontal="center" vertical="center"/>
    </xf>
    <xf numFmtId="2" fontId="8" fillId="0" borderId="8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2" fontId="8" fillId="0" borderId="9" xfId="0" applyNumberFormat="1" applyFont="1" applyFill="1" applyBorder="1" applyAlignment="1">
      <alignment horizontal="center" vertical="center"/>
    </xf>
    <xf numFmtId="2" fontId="8" fillId="2" borderId="10" xfId="0" applyNumberFormat="1" applyFont="1" applyFill="1" applyBorder="1" applyAlignment="1">
      <alignment horizontal="center" vertical="center"/>
    </xf>
    <xf numFmtId="2" fontId="8" fillId="2" borderId="0" xfId="0" applyNumberFormat="1" applyFont="1" applyFill="1" applyBorder="1" applyAlignment="1">
      <alignment horizontal="center" vertical="center"/>
    </xf>
    <xf numFmtId="2" fontId="8" fillId="2" borderId="11" xfId="0" applyNumberFormat="1" applyFont="1" applyFill="1" applyBorder="1" applyAlignment="1">
      <alignment horizontal="center" vertical="center"/>
    </xf>
    <xf numFmtId="2" fontId="8" fillId="0" borderId="12" xfId="0" applyNumberFormat="1" applyFont="1" applyFill="1" applyBorder="1" applyAlignment="1">
      <alignment horizontal="center" vertical="center"/>
    </xf>
    <xf numFmtId="2" fontId="8" fillId="0" borderId="13" xfId="0" applyNumberFormat="1" applyFont="1" applyFill="1" applyBorder="1" applyAlignment="1">
      <alignment horizontal="center" vertical="center"/>
    </xf>
    <xf numFmtId="2" fontId="8" fillId="0" borderId="14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center" vertical="center" textRotation="90"/>
    </xf>
    <xf numFmtId="0" fontId="8" fillId="0" borderId="5" xfId="0" applyFont="1" applyBorder="1" applyAlignment="1">
      <alignment horizontal="center" vertical="center" textRotation="90"/>
    </xf>
    <xf numFmtId="0" fontId="8" fillId="0" borderId="6" xfId="0" applyFont="1" applyBorder="1" applyAlignment="1">
      <alignment horizontal="center" vertical="center" textRotation="90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horizontal="center" vertical="center" textRotation="90" wrapText="1"/>
    </xf>
    <xf numFmtId="0" fontId="8" fillId="0" borderId="6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2" fontId="8" fillId="0" borderId="7" xfId="0" applyNumberFormat="1" applyFont="1" applyFill="1" applyBorder="1" applyAlignment="1">
      <alignment horizontal="center" vertical="center"/>
    </xf>
    <xf numFmtId="2" fontId="8" fillId="0" borderId="10" xfId="0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2" fontId="8" fillId="0" borderId="8" xfId="0" applyNumberFormat="1" applyFont="1" applyFill="1" applyBorder="1" applyAlignment="1">
      <alignment horizontal="center" vertical="center"/>
    </xf>
    <xf numFmtId="2" fontId="8" fillId="0" borderId="0" xfId="0" applyNumberFormat="1" applyFont="1" applyFill="1" applyBorder="1" applyAlignment="1">
      <alignment horizontal="center" vertical="center"/>
    </xf>
    <xf numFmtId="2" fontId="8" fillId="0" borderId="9" xfId="0" applyNumberFormat="1" applyFont="1" applyFill="1" applyBorder="1" applyAlignment="1">
      <alignment horizontal="center" vertical="center"/>
    </xf>
    <xf numFmtId="2" fontId="8" fillId="0" borderId="11" xfId="0" applyNumberFormat="1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2" fontId="8" fillId="2" borderId="10" xfId="0" applyNumberFormat="1" applyFont="1" applyFill="1" applyBorder="1" applyAlignment="1">
      <alignment horizontal="center" vertical="center"/>
    </xf>
    <xf numFmtId="2" fontId="8" fillId="2" borderId="12" xfId="0" applyNumberFormat="1" applyFont="1" applyFill="1" applyBorder="1" applyAlignment="1">
      <alignment horizontal="center" vertical="center"/>
    </xf>
    <xf numFmtId="2" fontId="8" fillId="2" borderId="0" xfId="0" applyNumberFormat="1" applyFont="1" applyFill="1" applyBorder="1" applyAlignment="1">
      <alignment horizontal="center" vertical="center"/>
    </xf>
    <xf numFmtId="2" fontId="8" fillId="2" borderId="13" xfId="0" applyNumberFormat="1" applyFont="1" applyFill="1" applyBorder="1" applyAlignment="1">
      <alignment horizontal="center" vertical="center"/>
    </xf>
    <xf numFmtId="2" fontId="8" fillId="2" borderId="11" xfId="0" applyNumberFormat="1" applyFont="1" applyFill="1" applyBorder="1" applyAlignment="1">
      <alignment horizontal="center" vertical="center"/>
    </xf>
    <xf numFmtId="2" fontId="8" fillId="2" borderId="14" xfId="0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/>
    </xf>
    <xf numFmtId="2" fontId="8" fillId="0" borderId="10" xfId="0" applyNumberFormat="1" applyFont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2" fontId="8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438670166229223"/>
          <c:y val="4.6712962962962977E-2"/>
          <c:w val="0.82505774278215227"/>
          <c:h val="0.770864319043452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'Problema 1'!$M$1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'Problema 1'!$L$2:$L$12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'Problema 1'!$M$2:$M$12</c:f>
              <c:numCache>
                <c:formatCode>General</c:formatCode>
                <c:ptCount val="11"/>
                <c:pt idx="0">
                  <c:v>0</c:v>
                </c:pt>
                <c:pt idx="1">
                  <c:v>5.0000000000000001E-4</c:v>
                </c:pt>
                <c:pt idx="2">
                  <c:v>1.0999999999999999E-2</c:v>
                </c:pt>
                <c:pt idx="3">
                  <c:v>7.7899999999999997E-2</c:v>
                </c:pt>
                <c:pt idx="4">
                  <c:v>0.2387</c:v>
                </c:pt>
                <c:pt idx="5">
                  <c:v>0.34370000000000001</c:v>
                </c:pt>
                <c:pt idx="6">
                  <c:v>0.2387</c:v>
                </c:pt>
                <c:pt idx="7">
                  <c:v>7.7899999999999997E-2</c:v>
                </c:pt>
                <c:pt idx="8">
                  <c:v>1.0999999999999999E-2</c:v>
                </c:pt>
                <c:pt idx="9">
                  <c:v>5.0000000000000001E-4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8-46C4-AE9F-211471A60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593903"/>
        <c:axId val="687522207"/>
      </c:barChart>
      <c:catAx>
        <c:axId val="531593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Acertos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7522207"/>
        <c:crosses val="autoZero"/>
        <c:auto val="1"/>
        <c:lblAlgn val="ctr"/>
        <c:lblOffset val="100"/>
        <c:noMultiLvlLbl val="0"/>
      </c:catAx>
      <c:valAx>
        <c:axId val="68752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Hipergeométrica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59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'Problema 3'!$B$2</c:f>
              <c:strCache>
                <c:ptCount val="1"/>
                <c:pt idx="0">
                  <c:v>Cor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'Problema 3'!$C$1:$G$1</c:f>
              <c:strCache>
                <c:ptCount val="5"/>
                <c:pt idx="0">
                  <c:v>Verde/Limão</c:v>
                </c:pt>
                <c:pt idx="1">
                  <c:v>Laranja</c:v>
                </c:pt>
                <c:pt idx="2">
                  <c:v>Roxo/Uva</c:v>
                </c:pt>
                <c:pt idx="3">
                  <c:v>Vermelho/Morango</c:v>
                </c:pt>
                <c:pt idx="4">
                  <c:v>Amarelo/Siciliano</c:v>
                </c:pt>
              </c:strCache>
            </c:strRef>
          </c:cat>
          <c:val>
            <c:numRef>
              <c:f>'Problema 3'!$C$2:$G$2</c:f>
              <c:numCache>
                <c:formatCode>General</c:formatCode>
                <c:ptCount val="5"/>
                <c:pt idx="0">
                  <c:v>18</c:v>
                </c:pt>
                <c:pt idx="1">
                  <c:v>9</c:v>
                </c:pt>
                <c:pt idx="2">
                  <c:v>17</c:v>
                </c:pt>
                <c:pt idx="3">
                  <c:v>15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C8-4B9C-9FFA-A9823B0C0572}"/>
            </c:ext>
          </c:extLst>
        </c:ser>
        <c:ser>
          <c:idx val="1"/>
          <c:order val="1"/>
          <c:tx>
            <c:strRef>
              <c:f>'Problema 3'!$B$3</c:f>
              <c:strCache>
                <c:ptCount val="1"/>
                <c:pt idx="0">
                  <c:v>Sabor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'Problema 3'!$C$1:$G$1</c:f>
              <c:strCache>
                <c:ptCount val="5"/>
                <c:pt idx="0">
                  <c:v>Verde/Limão</c:v>
                </c:pt>
                <c:pt idx="1">
                  <c:v>Laranja</c:v>
                </c:pt>
                <c:pt idx="2">
                  <c:v>Roxo/Uva</c:v>
                </c:pt>
                <c:pt idx="3">
                  <c:v>Vermelho/Morango</c:v>
                </c:pt>
                <c:pt idx="4">
                  <c:v>Amarelo/Siciliano</c:v>
                </c:pt>
              </c:strCache>
            </c:strRef>
          </c:cat>
          <c:val>
            <c:numRef>
              <c:f>'Problema 3'!$C$3:$G$3</c:f>
              <c:numCache>
                <c:formatCode>General</c:formatCode>
                <c:ptCount val="5"/>
                <c:pt idx="0">
                  <c:v>13</c:v>
                </c:pt>
                <c:pt idx="1">
                  <c:v>16</c:v>
                </c:pt>
                <c:pt idx="2">
                  <c:v>19</c:v>
                </c:pt>
                <c:pt idx="3">
                  <c:v>34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C8-4B9C-9FFA-A9823B0C0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8464560"/>
        <c:axId val="694318208"/>
      </c:barChart>
      <c:catAx>
        <c:axId val="44846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4318208"/>
        <c:crosses val="autoZero"/>
        <c:auto val="1"/>
        <c:lblAlgn val="ctr"/>
        <c:lblOffset val="100"/>
        <c:noMultiLvlLbl val="0"/>
      </c:catAx>
      <c:valAx>
        <c:axId val="694318208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846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Homens</a:t>
            </a:r>
            <a:r>
              <a:rPr lang="pt-BR" baseline="0"/>
              <a:t> X Mulheres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'Problema 4'!$B$12</c:f>
              <c:strCache>
                <c:ptCount val="1"/>
                <c:pt idx="0">
                  <c:v>Homens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'Problema 4'!$C$11:$D$11</c:f>
              <c:strCache>
                <c:ptCount val="2"/>
                <c:pt idx="0">
                  <c:v>Promoção</c:v>
                </c:pt>
                <c:pt idx="1">
                  <c:v>Não Promoção</c:v>
                </c:pt>
              </c:strCache>
            </c:strRef>
          </c:cat>
          <c:val>
            <c:numRef>
              <c:f>'Problema 4'!$C$12:$D$12</c:f>
              <c:numCache>
                <c:formatCode>0.00</c:formatCode>
                <c:ptCount val="2"/>
                <c:pt idx="0">
                  <c:v>0.61764705882352944</c:v>
                </c:pt>
                <c:pt idx="1">
                  <c:v>0.21428571428571427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7-49F6-8DD2-77F1108E4D78}"/>
            </c:ext>
          </c:extLst>
        </c:ser>
        <c:ser>
          <c:idx val="1"/>
          <c:order val="1"/>
          <c:tx>
            <c:strRef>
              <c:f>'Problema 4'!$B$13</c:f>
              <c:strCache>
                <c:ptCount val="1"/>
                <c:pt idx="0">
                  <c:v>Mulheres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'Problema 4'!$C$11:$D$11</c:f>
              <c:strCache>
                <c:ptCount val="2"/>
                <c:pt idx="0">
                  <c:v>Promoção</c:v>
                </c:pt>
                <c:pt idx="1">
                  <c:v>Não Promoção</c:v>
                </c:pt>
              </c:strCache>
            </c:strRef>
          </c:cat>
          <c:val>
            <c:numRef>
              <c:f>'Problema 4'!$C$13:$D$13</c:f>
              <c:numCache>
                <c:formatCode>0.00</c:formatCode>
                <c:ptCount val="2"/>
                <c:pt idx="0">
                  <c:v>0.38235294117647056</c:v>
                </c:pt>
                <c:pt idx="1">
                  <c:v>0.7857142857142857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57-49F6-8DD2-77F1108E4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094048"/>
        <c:axId val="974098576"/>
      </c:barChart>
      <c:catAx>
        <c:axId val="97209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098576"/>
        <c:crosses val="autoZero"/>
        <c:auto val="1"/>
        <c:lblAlgn val="ctr"/>
        <c:lblOffset val="100"/>
        <c:noMultiLvlLbl val="0"/>
      </c:catAx>
      <c:valAx>
        <c:axId val="974098576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209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0</xdr:rowOff>
    </xdr:from>
    <xdr:to>
      <xdr:col>12</xdr:col>
      <xdr:colOff>548640</xdr:colOff>
      <xdr:row>1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3BC1EC0-3322-44B5-91F4-1F3B5566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0"/>
          <a:ext cx="54864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83820</xdr:colOff>
      <xdr:row>1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7E44F73-6586-4F73-A63B-D8970A76D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0"/>
          <a:ext cx="838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57</xdr:row>
      <xdr:rowOff>0</xdr:rowOff>
    </xdr:from>
    <xdr:to>
      <xdr:col>5</xdr:col>
      <xdr:colOff>83820</xdr:colOff>
      <xdr:row>58</xdr:row>
      <xdr:rowOff>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A79A7BF-6FCD-48AD-99F3-D868F59CB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10340340"/>
          <a:ext cx="838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68580</xdr:colOff>
      <xdr:row>58</xdr:row>
      <xdr:rowOff>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D74BBE3-8746-4821-98CF-2ACF5C4DA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10340340"/>
          <a:ext cx="685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7</xdr:col>
      <xdr:colOff>76200</xdr:colOff>
      <xdr:row>58</xdr:row>
      <xdr:rowOff>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B8398D75-24C6-4C0C-8F35-4C349B81C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0340340"/>
          <a:ext cx="762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57</xdr:row>
      <xdr:rowOff>0</xdr:rowOff>
    </xdr:from>
    <xdr:to>
      <xdr:col>8</xdr:col>
      <xdr:colOff>548640</xdr:colOff>
      <xdr:row>58</xdr:row>
      <xdr:rowOff>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8409C7D3-5502-4E6A-A74A-3675BBB8E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10340340"/>
          <a:ext cx="54864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213360</xdr:colOff>
      <xdr:row>0</xdr:row>
      <xdr:rowOff>22860</xdr:rowOff>
    </xdr:from>
    <xdr:to>
      <xdr:col>20</xdr:col>
      <xdr:colOff>518160</xdr:colOff>
      <xdr:row>14</xdr:row>
      <xdr:rowOff>106680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D40F207-6F49-4B47-A2AB-BE23CE961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373380</xdr:colOff>
      <xdr:row>6</xdr:row>
      <xdr:rowOff>15240</xdr:rowOff>
    </xdr:from>
    <xdr:to>
      <xdr:col>7</xdr:col>
      <xdr:colOff>76200</xdr:colOff>
      <xdr:row>21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7D8336-893B-44FE-ADEE-2580B79F8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723900</xdr:colOff>
      <xdr:row>13</xdr:row>
      <xdr:rowOff>106680</xdr:rowOff>
    </xdr:from>
    <xdr:to>
      <xdr:col>7</xdr:col>
      <xdr:colOff>365760</xdr:colOff>
      <xdr:row>28</xdr:row>
      <xdr:rowOff>106680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4A3762F-2DB3-4F4B-B2AF-A1611FBC3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83CA-0921-4CA3-B6CE-BB7ED7129050}">
  <dimension ref="A1:AA69"/>
  <sheetViews>
    <sheetView workbookViewId="0">
      <selection activeCell="X7" sqref="X7"/>
    </sheetView>
  </sheetViews>
  <sheetFormatPr defaultRowHeight="14.4" x14ac:dyDescent="0.3"/>
  <cols>
    <col min="2" max="2" width="13.33203125" customWidth="1"/>
    <col min="9" max="9" width="10" bestFit="1" customWidth="1"/>
    <col min="10" max="10" width="14.44140625" bestFit="1" customWidth="1"/>
    <col min="24" max="24" width="12.33203125" bestFit="1" customWidth="1"/>
  </cols>
  <sheetData>
    <row r="1" spans="1:27" ht="15" thickBot="1" x14ac:dyDescent="0.35">
      <c r="A1" t="s">
        <v>0</v>
      </c>
      <c r="B1" s="16" t="s">
        <v>1</v>
      </c>
      <c r="C1" s="16"/>
      <c r="D1" s="16"/>
      <c r="E1" s="16"/>
      <c r="F1" s="16"/>
      <c r="L1" s="20"/>
      <c r="M1" s="20"/>
      <c r="W1" s="28" t="s">
        <v>15</v>
      </c>
    </row>
    <row r="2" spans="1:27" ht="15.6" thickTop="1" thickBot="1" x14ac:dyDescent="0.35">
      <c r="C2" s="1" t="s">
        <v>5</v>
      </c>
      <c r="D2" s="2" t="s">
        <v>6</v>
      </c>
      <c r="E2" s="3" t="s">
        <v>4</v>
      </c>
      <c r="I2" t="s">
        <v>8</v>
      </c>
      <c r="J2" t="s">
        <v>9</v>
      </c>
      <c r="L2" s="23">
        <v>0</v>
      </c>
      <c r="M2" s="21">
        <v>0</v>
      </c>
      <c r="Y2" s="1" t="s">
        <v>5</v>
      </c>
      <c r="Z2" s="2" t="s">
        <v>6</v>
      </c>
      <c r="AA2" s="3" t="s">
        <v>4</v>
      </c>
    </row>
    <row r="3" spans="1:27" ht="15" thickBot="1" x14ac:dyDescent="0.35">
      <c r="B3" s="8" t="s">
        <v>2</v>
      </c>
      <c r="C3" s="9">
        <v>0</v>
      </c>
      <c r="D3" s="10">
        <f>E3-C3</f>
        <v>10</v>
      </c>
      <c r="E3" s="11">
        <v>10</v>
      </c>
      <c r="G3" t="s">
        <v>10</v>
      </c>
      <c r="H3" t="s">
        <v>11</v>
      </c>
      <c r="I3" t="s">
        <v>12</v>
      </c>
      <c r="J3" t="s">
        <v>13</v>
      </c>
      <c r="L3" s="24">
        <v>1</v>
      </c>
      <c r="M3" s="22">
        <v>5.0000000000000001E-4</v>
      </c>
      <c r="X3" s="8" t="s">
        <v>2</v>
      </c>
      <c r="Y3" s="9">
        <v>6</v>
      </c>
      <c r="Z3" s="10">
        <f>AA3-Y3</f>
        <v>4</v>
      </c>
      <c r="AA3" s="11">
        <v>10</v>
      </c>
    </row>
    <row r="4" spans="1:27" ht="15" thickBot="1" x14ac:dyDescent="0.35">
      <c r="B4" s="4" t="s">
        <v>3</v>
      </c>
      <c r="C4" s="5">
        <f>C5-C3</f>
        <v>10</v>
      </c>
      <c r="D4" s="6">
        <f>E4-C4</f>
        <v>0</v>
      </c>
      <c r="E4" s="7">
        <v>10</v>
      </c>
      <c r="G4">
        <f>C3/E3</f>
        <v>0</v>
      </c>
      <c r="H4">
        <f>C4/E4</f>
        <v>1</v>
      </c>
      <c r="I4">
        <f>G4-H4</f>
        <v>-1</v>
      </c>
      <c r="J4" s="19">
        <f>_xlfn.HYPGEOM.DIST(C3,C5,E3,E5,FALSE)</f>
        <v>5.4125441122345165E-6</v>
      </c>
      <c r="L4" s="23">
        <v>2</v>
      </c>
      <c r="M4" s="21">
        <v>1.0999999999999999E-2</v>
      </c>
      <c r="X4" s="4" t="s">
        <v>3</v>
      </c>
      <c r="Y4" s="5">
        <f>Y5-Y3</f>
        <v>4</v>
      </c>
      <c r="Z4" s="6">
        <f>AA4-Y4</f>
        <v>6</v>
      </c>
      <c r="AA4" s="7">
        <v>10</v>
      </c>
    </row>
    <row r="5" spans="1:27" ht="15" thickBot="1" x14ac:dyDescent="0.35">
      <c r="B5" s="12" t="s">
        <v>4</v>
      </c>
      <c r="C5" s="13">
        <v>10</v>
      </c>
      <c r="D5" s="14">
        <v>10</v>
      </c>
      <c r="E5" s="15">
        <v>20</v>
      </c>
      <c r="L5" s="24">
        <v>3</v>
      </c>
      <c r="M5" s="22">
        <v>7.7899999999999997E-2</v>
      </c>
      <c r="X5" s="12" t="s">
        <v>4</v>
      </c>
      <c r="Y5" s="13">
        <v>10</v>
      </c>
      <c r="Z5" s="14">
        <v>10</v>
      </c>
      <c r="AA5" s="15">
        <v>20</v>
      </c>
    </row>
    <row r="6" spans="1:27" ht="15" thickBot="1" x14ac:dyDescent="0.35">
      <c r="L6" s="23">
        <v>4</v>
      </c>
      <c r="M6" s="21">
        <v>0.2387</v>
      </c>
    </row>
    <row r="7" spans="1:27" ht="15" thickBot="1" x14ac:dyDescent="0.35">
      <c r="C7" s="1" t="s">
        <v>5</v>
      </c>
      <c r="D7" s="2" t="s">
        <v>6</v>
      </c>
      <c r="E7" s="3" t="s">
        <v>4</v>
      </c>
      <c r="I7" t="s">
        <v>8</v>
      </c>
      <c r="J7" t="s">
        <v>9</v>
      </c>
      <c r="L7" s="24">
        <v>5</v>
      </c>
      <c r="M7" s="22">
        <v>0.34370000000000001</v>
      </c>
      <c r="X7" s="17" t="s">
        <v>16</v>
      </c>
      <c r="Y7" s="19">
        <f>SUM(J34+J39+J44+J49+J54)</f>
        <v>0.32814089934833007</v>
      </c>
    </row>
    <row r="8" spans="1:27" ht="15" thickBot="1" x14ac:dyDescent="0.35">
      <c r="B8" s="8" t="s">
        <v>2</v>
      </c>
      <c r="C8" s="9">
        <v>1</v>
      </c>
      <c r="D8" s="10">
        <f>E8-C8</f>
        <v>9</v>
      </c>
      <c r="E8" s="11">
        <v>10</v>
      </c>
      <c r="G8" t="s">
        <v>10</v>
      </c>
      <c r="H8" t="s">
        <v>11</v>
      </c>
      <c r="I8" t="s">
        <v>12</v>
      </c>
      <c r="J8" t="s">
        <v>13</v>
      </c>
      <c r="L8" s="23">
        <v>6</v>
      </c>
      <c r="M8" s="21">
        <v>0.2387</v>
      </c>
    </row>
    <row r="9" spans="1:27" ht="15" thickBot="1" x14ac:dyDescent="0.35">
      <c r="B9" s="4" t="s">
        <v>3</v>
      </c>
      <c r="C9" s="5">
        <f>C10-C8</f>
        <v>9</v>
      </c>
      <c r="D9" s="6">
        <f>E9-C9</f>
        <v>1</v>
      </c>
      <c r="E9" s="7">
        <v>10</v>
      </c>
      <c r="G9">
        <f>C8/E8</f>
        <v>0.1</v>
      </c>
      <c r="H9">
        <f>C9/E9</f>
        <v>0.9</v>
      </c>
      <c r="I9">
        <f>G9-H9</f>
        <v>-0.8</v>
      </c>
      <c r="J9" s="19">
        <f>_xlfn.HYPGEOM.DIST(C8,C10,E8,E10,FALSE)</f>
        <v>5.4125441122345136E-4</v>
      </c>
      <c r="L9" s="24">
        <v>7</v>
      </c>
      <c r="M9" s="22">
        <v>7.7899999999999997E-2</v>
      </c>
    </row>
    <row r="10" spans="1:27" ht="15" thickBot="1" x14ac:dyDescent="0.35">
      <c r="B10" s="12" t="s">
        <v>4</v>
      </c>
      <c r="C10" s="13">
        <v>10</v>
      </c>
      <c r="D10" s="14">
        <v>10</v>
      </c>
      <c r="E10" s="15">
        <v>20</v>
      </c>
      <c r="L10" s="21">
        <v>8</v>
      </c>
      <c r="M10" s="23">
        <v>1.0999999999999999E-2</v>
      </c>
    </row>
    <row r="11" spans="1:27" ht="15" thickBot="1" x14ac:dyDescent="0.35">
      <c r="L11" s="24">
        <v>9</v>
      </c>
      <c r="M11" s="22">
        <v>5.0000000000000001E-4</v>
      </c>
    </row>
    <row r="12" spans="1:27" ht="15" thickBot="1" x14ac:dyDescent="0.35">
      <c r="C12" s="1" t="s">
        <v>5</v>
      </c>
      <c r="D12" s="2" t="s">
        <v>6</v>
      </c>
      <c r="E12" s="3" t="s">
        <v>4</v>
      </c>
      <c r="I12" t="s">
        <v>8</v>
      </c>
      <c r="J12" t="s">
        <v>9</v>
      </c>
      <c r="L12" s="23">
        <v>10</v>
      </c>
      <c r="M12" s="21">
        <v>0</v>
      </c>
    </row>
    <row r="13" spans="1:27" x14ac:dyDescent="0.3">
      <c r="B13" s="8" t="s">
        <v>2</v>
      </c>
      <c r="C13" s="9">
        <v>2</v>
      </c>
      <c r="D13" s="10">
        <f>E13-C13</f>
        <v>8</v>
      </c>
      <c r="E13" s="11">
        <v>10</v>
      </c>
      <c r="G13" t="s">
        <v>10</v>
      </c>
      <c r="H13" t="s">
        <v>11</v>
      </c>
      <c r="I13" t="s">
        <v>12</v>
      </c>
      <c r="J13" t="s">
        <v>13</v>
      </c>
    </row>
    <row r="14" spans="1:27" x14ac:dyDescent="0.3">
      <c r="B14" s="4" t="s">
        <v>3</v>
      </c>
      <c r="C14" s="5">
        <f>C15-C13</f>
        <v>8</v>
      </c>
      <c r="D14" s="6">
        <f>E14-C14</f>
        <v>2</v>
      </c>
      <c r="E14" s="7">
        <v>10</v>
      </c>
      <c r="G14">
        <f>C13/E13</f>
        <v>0.2</v>
      </c>
      <c r="H14">
        <f>C14/E14</f>
        <v>0.8</v>
      </c>
      <c r="I14">
        <f>G14-H14</f>
        <v>-0.60000000000000009</v>
      </c>
      <c r="J14" s="19">
        <f>_xlfn.HYPGEOM.DIST(C13,C15,E13,E15,FALSE)</f>
        <v>1.0960401827274906E-2</v>
      </c>
    </row>
    <row r="15" spans="1:27" x14ac:dyDescent="0.3">
      <c r="B15" s="12" t="s">
        <v>4</v>
      </c>
      <c r="C15" s="13">
        <v>10</v>
      </c>
      <c r="D15" s="14">
        <v>10</v>
      </c>
      <c r="E15" s="15">
        <v>20</v>
      </c>
    </row>
    <row r="17" spans="2:14" x14ac:dyDescent="0.3">
      <c r="C17" s="1" t="s">
        <v>5</v>
      </c>
      <c r="D17" s="2" t="s">
        <v>6</v>
      </c>
      <c r="E17" s="3" t="s">
        <v>4</v>
      </c>
      <c r="I17" t="s">
        <v>8</v>
      </c>
      <c r="J17" t="s">
        <v>9</v>
      </c>
      <c r="M17" t="s">
        <v>14</v>
      </c>
      <c r="N17" s="19">
        <f>J44+J49+J54</f>
        <v>1.1507068782610591E-2</v>
      </c>
    </row>
    <row r="18" spans="2:14" x14ac:dyDescent="0.3">
      <c r="B18" s="8" t="s">
        <v>2</v>
      </c>
      <c r="C18" s="9">
        <v>3</v>
      </c>
      <c r="D18" s="10">
        <f>E18-C18</f>
        <v>7</v>
      </c>
      <c r="E18" s="11">
        <v>10</v>
      </c>
      <c r="G18" t="s">
        <v>10</v>
      </c>
      <c r="H18" t="s">
        <v>11</v>
      </c>
      <c r="I18" t="s">
        <v>12</v>
      </c>
      <c r="J18" t="s">
        <v>13</v>
      </c>
    </row>
    <row r="19" spans="2:14" x14ac:dyDescent="0.3">
      <c r="B19" s="4" t="s">
        <v>3</v>
      </c>
      <c r="C19" s="5">
        <f>C20-C18</f>
        <v>7</v>
      </c>
      <c r="D19" s="6">
        <f>E19-C19</f>
        <v>3</v>
      </c>
      <c r="E19" s="7">
        <v>10</v>
      </c>
      <c r="G19">
        <f>C18/E18</f>
        <v>0.3</v>
      </c>
      <c r="H19">
        <f>C19/E19</f>
        <v>0.7</v>
      </c>
      <c r="I19">
        <f>G19-H19</f>
        <v>-0.39999999999999997</v>
      </c>
      <c r="J19" s="19">
        <f>_xlfn.HYPGEOM.DIST(C18,C20,E18,E20,FALSE)</f>
        <v>7.7940635216176987E-2</v>
      </c>
    </row>
    <row r="20" spans="2:14" x14ac:dyDescent="0.3">
      <c r="B20" s="12" t="s">
        <v>4</v>
      </c>
      <c r="C20" s="13">
        <v>10</v>
      </c>
      <c r="D20" s="14">
        <v>10</v>
      </c>
      <c r="E20" s="15">
        <v>20</v>
      </c>
    </row>
    <row r="22" spans="2:14" x14ac:dyDescent="0.3">
      <c r="C22" s="1" t="s">
        <v>5</v>
      </c>
      <c r="D22" s="2" t="s">
        <v>6</v>
      </c>
      <c r="E22" s="3" t="s">
        <v>4</v>
      </c>
      <c r="I22" t="s">
        <v>8</v>
      </c>
      <c r="J22" t="s">
        <v>9</v>
      </c>
    </row>
    <row r="23" spans="2:14" x14ac:dyDescent="0.3">
      <c r="B23" s="8" t="s">
        <v>2</v>
      </c>
      <c r="C23" s="9">
        <v>4</v>
      </c>
      <c r="D23" s="10">
        <f>E23-C23</f>
        <v>6</v>
      </c>
      <c r="E23" s="11">
        <v>10</v>
      </c>
      <c r="G23" t="s">
        <v>10</v>
      </c>
      <c r="H23" t="s">
        <v>11</v>
      </c>
      <c r="I23" t="s">
        <v>12</v>
      </c>
      <c r="J23" t="s">
        <v>13</v>
      </c>
    </row>
    <row r="24" spans="2:14" x14ac:dyDescent="0.3">
      <c r="B24" s="4" t="s">
        <v>3</v>
      </c>
      <c r="C24" s="5">
        <f>C25-C23</f>
        <v>6</v>
      </c>
      <c r="D24" s="6">
        <f>E24-C24</f>
        <v>4</v>
      </c>
      <c r="E24" s="7">
        <v>10</v>
      </c>
      <c r="G24">
        <f>C23/E23</f>
        <v>0.4</v>
      </c>
      <c r="H24">
        <f>C24/E24</f>
        <v>0.6</v>
      </c>
      <c r="I24">
        <f>G24-H24</f>
        <v>-0.19999999999999996</v>
      </c>
      <c r="J24" s="19">
        <f>_xlfn.HYPGEOM.DIST(C23,C25,E23,E25,FALSE)</f>
        <v>0.2386931953495425</v>
      </c>
    </row>
    <row r="25" spans="2:14" x14ac:dyDescent="0.3">
      <c r="B25" s="12" t="s">
        <v>4</v>
      </c>
      <c r="C25" s="13">
        <v>10</v>
      </c>
      <c r="D25" s="14">
        <v>10</v>
      </c>
      <c r="E25" s="15">
        <v>20</v>
      </c>
    </row>
    <row r="27" spans="2:14" x14ac:dyDescent="0.3">
      <c r="C27" s="1" t="s">
        <v>5</v>
      </c>
      <c r="D27" s="2" t="s">
        <v>6</v>
      </c>
      <c r="E27" s="3" t="s">
        <v>4</v>
      </c>
      <c r="I27" t="s">
        <v>8</v>
      </c>
      <c r="J27" t="s">
        <v>9</v>
      </c>
    </row>
    <row r="28" spans="2:14" x14ac:dyDescent="0.3">
      <c r="B28" s="8" t="s">
        <v>2</v>
      </c>
      <c r="C28" s="9">
        <v>5</v>
      </c>
      <c r="D28" s="10">
        <f>E28-C28</f>
        <v>5</v>
      </c>
      <c r="E28" s="11">
        <v>10</v>
      </c>
      <c r="G28" t="s">
        <v>10</v>
      </c>
      <c r="H28" t="s">
        <v>11</v>
      </c>
      <c r="I28" t="s">
        <v>12</v>
      </c>
      <c r="J28" t="s">
        <v>13</v>
      </c>
    </row>
    <row r="29" spans="2:14" x14ac:dyDescent="0.3">
      <c r="B29" s="4" t="s">
        <v>3</v>
      </c>
      <c r="C29" s="5">
        <f>C30-C28</f>
        <v>5</v>
      </c>
      <c r="D29" s="6">
        <f>E29-C29</f>
        <v>5</v>
      </c>
      <c r="E29" s="7">
        <v>10</v>
      </c>
      <c r="G29">
        <f>C28/E28</f>
        <v>0.5</v>
      </c>
      <c r="H29">
        <f>C29/E29</f>
        <v>0.5</v>
      </c>
      <c r="I29">
        <f>G29-H29</f>
        <v>0</v>
      </c>
      <c r="J29" s="19">
        <f>_xlfn.HYPGEOM.DIST(C28,C30,E28,E30,FALSE)</f>
        <v>0.34371820130334091</v>
      </c>
    </row>
    <row r="30" spans="2:14" x14ac:dyDescent="0.3">
      <c r="B30" s="12" t="s">
        <v>4</v>
      </c>
      <c r="C30" s="13">
        <v>10</v>
      </c>
      <c r="D30" s="14">
        <v>10</v>
      </c>
      <c r="E30" s="15">
        <v>20</v>
      </c>
    </row>
    <row r="32" spans="2:14" x14ac:dyDescent="0.3">
      <c r="C32" s="1" t="s">
        <v>5</v>
      </c>
      <c r="D32" s="2" t="s">
        <v>6</v>
      </c>
      <c r="E32" s="3" t="s">
        <v>4</v>
      </c>
      <c r="I32" t="s">
        <v>8</v>
      </c>
      <c r="J32" t="s">
        <v>9</v>
      </c>
    </row>
    <row r="33" spans="2:10" x14ac:dyDescent="0.3">
      <c r="B33" s="8" t="s">
        <v>2</v>
      </c>
      <c r="C33" s="9">
        <v>6</v>
      </c>
      <c r="D33" s="10">
        <f>E33-C33</f>
        <v>4</v>
      </c>
      <c r="E33" s="11">
        <v>10</v>
      </c>
      <c r="G33" t="s">
        <v>10</v>
      </c>
      <c r="H33" t="s">
        <v>11</v>
      </c>
      <c r="I33" t="s">
        <v>12</v>
      </c>
      <c r="J33" t="s">
        <v>13</v>
      </c>
    </row>
    <row r="34" spans="2:10" x14ac:dyDescent="0.3">
      <c r="B34" s="4" t="s">
        <v>3</v>
      </c>
      <c r="C34" s="5">
        <f>C35-C33</f>
        <v>4</v>
      </c>
      <c r="D34" s="6">
        <f>E34-C34</f>
        <v>6</v>
      </c>
      <c r="E34" s="7">
        <v>10</v>
      </c>
      <c r="G34">
        <f>C33/E33</f>
        <v>0.6</v>
      </c>
      <c r="H34">
        <f>C34/E34</f>
        <v>0.4</v>
      </c>
      <c r="I34">
        <f>G34-H34</f>
        <v>0.19999999999999996</v>
      </c>
      <c r="J34" s="19">
        <f>_xlfn.HYPGEOM.DIST(C33,C35,E33,E35,FALSE)</f>
        <v>0.2386931953495425</v>
      </c>
    </row>
    <row r="35" spans="2:10" x14ac:dyDescent="0.3">
      <c r="B35" s="12" t="s">
        <v>4</v>
      </c>
      <c r="C35" s="13">
        <v>10</v>
      </c>
      <c r="D35" s="14">
        <v>10</v>
      </c>
      <c r="E35" s="15">
        <v>20</v>
      </c>
    </row>
    <row r="37" spans="2:10" x14ac:dyDescent="0.3">
      <c r="C37" s="1" t="s">
        <v>5</v>
      </c>
      <c r="D37" s="2" t="s">
        <v>6</v>
      </c>
      <c r="E37" s="3" t="s">
        <v>4</v>
      </c>
      <c r="I37" t="s">
        <v>8</v>
      </c>
      <c r="J37" t="s">
        <v>9</v>
      </c>
    </row>
    <row r="38" spans="2:10" x14ac:dyDescent="0.3">
      <c r="B38" s="8" t="s">
        <v>2</v>
      </c>
      <c r="C38" s="9">
        <v>7</v>
      </c>
      <c r="D38" s="10">
        <f>E38-C38</f>
        <v>3</v>
      </c>
      <c r="E38" s="11">
        <v>10</v>
      </c>
      <c r="G38" t="s">
        <v>10</v>
      </c>
      <c r="H38" t="s">
        <v>11</v>
      </c>
      <c r="I38" t="s">
        <v>12</v>
      </c>
      <c r="J38" t="s">
        <v>13</v>
      </c>
    </row>
    <row r="39" spans="2:10" x14ac:dyDescent="0.3">
      <c r="B39" s="4" t="s">
        <v>3</v>
      </c>
      <c r="C39" s="5">
        <f>C40-C38</f>
        <v>3</v>
      </c>
      <c r="D39" s="6">
        <f>E39-C39</f>
        <v>7</v>
      </c>
      <c r="E39" s="7">
        <v>10</v>
      </c>
      <c r="G39">
        <f>C38/E38</f>
        <v>0.7</v>
      </c>
      <c r="H39">
        <f>C39/E39</f>
        <v>0.3</v>
      </c>
      <c r="I39">
        <f>G39-H39</f>
        <v>0.39999999999999997</v>
      </c>
      <c r="J39" s="19">
        <f>_xlfn.HYPGEOM.DIST(C38,C40,E38,E40,FALSE)</f>
        <v>7.7940635216176987E-2</v>
      </c>
    </row>
    <row r="40" spans="2:10" x14ac:dyDescent="0.3">
      <c r="B40" s="12" t="s">
        <v>4</v>
      </c>
      <c r="C40" s="13">
        <v>10</v>
      </c>
      <c r="D40" s="14">
        <v>10</v>
      </c>
      <c r="E40" s="15">
        <v>20</v>
      </c>
    </row>
    <row r="42" spans="2:10" x14ac:dyDescent="0.3">
      <c r="B42" s="18" t="s">
        <v>7</v>
      </c>
      <c r="C42" s="1" t="s">
        <v>5</v>
      </c>
      <c r="D42" s="2" t="s">
        <v>6</v>
      </c>
      <c r="E42" s="3" t="s">
        <v>4</v>
      </c>
      <c r="I42" t="s">
        <v>8</v>
      </c>
      <c r="J42" t="s">
        <v>9</v>
      </c>
    </row>
    <row r="43" spans="2:10" x14ac:dyDescent="0.3">
      <c r="B43" s="8" t="s">
        <v>2</v>
      </c>
      <c r="C43" s="9">
        <v>8</v>
      </c>
      <c r="D43" s="10">
        <f>E43-C43</f>
        <v>2</v>
      </c>
      <c r="E43" s="11">
        <v>10</v>
      </c>
      <c r="G43" t="s">
        <v>10</v>
      </c>
      <c r="H43" t="s">
        <v>11</v>
      </c>
      <c r="I43" t="s">
        <v>12</v>
      </c>
      <c r="J43" t="s">
        <v>13</v>
      </c>
    </row>
    <row r="44" spans="2:10" x14ac:dyDescent="0.3">
      <c r="B44" s="4" t="s">
        <v>3</v>
      </c>
      <c r="C44" s="5">
        <f>C45-C43</f>
        <v>2</v>
      </c>
      <c r="D44" s="6">
        <f>E44-C44</f>
        <v>8</v>
      </c>
      <c r="E44" s="7">
        <v>10</v>
      </c>
      <c r="G44">
        <f>C43/E43</f>
        <v>0.8</v>
      </c>
      <c r="H44">
        <f>C44/E44</f>
        <v>0.2</v>
      </c>
      <c r="I44">
        <f>G44-H44</f>
        <v>0.60000000000000009</v>
      </c>
      <c r="J44" s="19">
        <f>_xlfn.HYPGEOM.DIST(C43,C45,E43,E45,FALSE)</f>
        <v>1.0960401827274906E-2</v>
      </c>
    </row>
    <row r="45" spans="2:10" x14ac:dyDescent="0.3">
      <c r="B45" s="12" t="s">
        <v>4</v>
      </c>
      <c r="C45" s="13">
        <v>10</v>
      </c>
      <c r="D45" s="14">
        <v>10</v>
      </c>
      <c r="E45" s="15">
        <v>20</v>
      </c>
    </row>
    <row r="47" spans="2:10" x14ac:dyDescent="0.3">
      <c r="C47" s="1" t="s">
        <v>5</v>
      </c>
      <c r="D47" s="2" t="s">
        <v>6</v>
      </c>
      <c r="E47" s="3" t="s">
        <v>4</v>
      </c>
      <c r="I47" t="s">
        <v>8</v>
      </c>
      <c r="J47" t="s">
        <v>9</v>
      </c>
    </row>
    <row r="48" spans="2:10" x14ac:dyDescent="0.3">
      <c r="B48" s="8" t="s">
        <v>2</v>
      </c>
      <c r="C48" s="9">
        <v>9</v>
      </c>
      <c r="D48" s="10">
        <f>E48-C48</f>
        <v>1</v>
      </c>
      <c r="E48" s="11">
        <v>10</v>
      </c>
      <c r="G48" t="s">
        <v>10</v>
      </c>
      <c r="H48" t="s">
        <v>11</v>
      </c>
      <c r="I48" t="s">
        <v>12</v>
      </c>
      <c r="J48" t="s">
        <v>13</v>
      </c>
    </row>
    <row r="49" spans="2:10" x14ac:dyDescent="0.3">
      <c r="B49" s="4" t="s">
        <v>3</v>
      </c>
      <c r="C49" s="5">
        <f>C50-C48</f>
        <v>1</v>
      </c>
      <c r="D49" s="6">
        <f>E49-C49</f>
        <v>9</v>
      </c>
      <c r="E49" s="7">
        <v>10</v>
      </c>
      <c r="G49">
        <f>C48/E48</f>
        <v>0.9</v>
      </c>
      <c r="H49">
        <f>C49/E49</f>
        <v>0.1</v>
      </c>
      <c r="I49">
        <f>G49-H49</f>
        <v>0.8</v>
      </c>
      <c r="J49" s="19">
        <f>_xlfn.HYPGEOM.DIST(C48,C50,E48,E50,FALSE)</f>
        <v>5.4125441122345136E-4</v>
      </c>
    </row>
    <row r="50" spans="2:10" x14ac:dyDescent="0.3">
      <c r="B50" s="12" t="s">
        <v>4</v>
      </c>
      <c r="C50" s="13">
        <v>10</v>
      </c>
      <c r="D50" s="14">
        <v>10</v>
      </c>
      <c r="E50" s="15">
        <v>20</v>
      </c>
    </row>
    <row r="52" spans="2:10" x14ac:dyDescent="0.3">
      <c r="C52" s="1" t="s">
        <v>5</v>
      </c>
      <c r="D52" s="2" t="s">
        <v>6</v>
      </c>
      <c r="E52" s="3" t="s">
        <v>4</v>
      </c>
      <c r="I52" t="s">
        <v>8</v>
      </c>
      <c r="J52" t="s">
        <v>9</v>
      </c>
    </row>
    <row r="53" spans="2:10" x14ac:dyDescent="0.3">
      <c r="B53" s="8" t="s">
        <v>2</v>
      </c>
      <c r="C53" s="9">
        <v>10</v>
      </c>
      <c r="D53" s="10">
        <f>E53-C53</f>
        <v>0</v>
      </c>
      <c r="E53" s="11">
        <v>10</v>
      </c>
      <c r="G53" t="s">
        <v>10</v>
      </c>
      <c r="H53" t="s">
        <v>11</v>
      </c>
      <c r="I53" t="s">
        <v>12</v>
      </c>
      <c r="J53" t="s">
        <v>13</v>
      </c>
    </row>
    <row r="54" spans="2:10" x14ac:dyDescent="0.3">
      <c r="B54" s="4" t="s">
        <v>3</v>
      </c>
      <c r="C54" s="5">
        <f>C55-C53</f>
        <v>0</v>
      </c>
      <c r="D54" s="6">
        <f>E54-C54</f>
        <v>10</v>
      </c>
      <c r="E54" s="7">
        <v>10</v>
      </c>
      <c r="G54">
        <f>C53/E53</f>
        <v>1</v>
      </c>
      <c r="H54">
        <f>C54/E54</f>
        <v>0</v>
      </c>
      <c r="I54">
        <f>G54-H54</f>
        <v>1</v>
      </c>
      <c r="J54" s="19">
        <f>_xlfn.HYPGEOM.DIST(C53,C55,E53,E55,FALSE)</f>
        <v>5.4125441122345165E-6</v>
      </c>
    </row>
    <row r="55" spans="2:10" x14ac:dyDescent="0.3">
      <c r="B55" s="12" t="s">
        <v>4</v>
      </c>
      <c r="C55" s="13">
        <v>10</v>
      </c>
      <c r="D55" s="14">
        <v>10</v>
      </c>
      <c r="E55" s="15">
        <v>20</v>
      </c>
    </row>
    <row r="56" spans="2:10" x14ac:dyDescent="0.3">
      <c r="B56" s="17"/>
      <c r="C56" s="17"/>
      <c r="D56" s="17"/>
      <c r="E56" s="17"/>
    </row>
    <row r="58" spans="2:10" ht="15" thickBot="1" x14ac:dyDescent="0.35">
      <c r="F58" s="20"/>
      <c r="G58" s="20"/>
      <c r="H58" s="20"/>
      <c r="I58" s="20"/>
    </row>
    <row r="59" spans="2:10" ht="15.6" thickTop="1" thickBot="1" x14ac:dyDescent="0.35">
      <c r="F59" s="25">
        <v>0</v>
      </c>
      <c r="G59" s="25">
        <v>10</v>
      </c>
      <c r="H59" s="25">
        <v>-1</v>
      </c>
      <c r="I59" s="23">
        <v>0</v>
      </c>
    </row>
    <row r="60" spans="2:10" ht="15" thickBot="1" x14ac:dyDescent="0.35">
      <c r="F60" s="26">
        <v>1</v>
      </c>
      <c r="G60" s="26">
        <v>9</v>
      </c>
      <c r="H60" s="26">
        <v>-0.8</v>
      </c>
      <c r="I60" s="24">
        <v>5.0000000000000001E-4</v>
      </c>
    </row>
    <row r="61" spans="2:10" ht="15" thickBot="1" x14ac:dyDescent="0.35">
      <c r="F61" s="25">
        <v>2</v>
      </c>
      <c r="G61" s="25">
        <v>8</v>
      </c>
      <c r="H61" s="25">
        <v>-0.6</v>
      </c>
      <c r="I61" s="23">
        <v>1.0999999999999999E-2</v>
      </c>
    </row>
    <row r="62" spans="2:10" ht="15" thickBot="1" x14ac:dyDescent="0.35">
      <c r="F62" s="26">
        <v>3</v>
      </c>
      <c r="G62" s="26">
        <v>7</v>
      </c>
      <c r="H62" s="26">
        <v>-0.4</v>
      </c>
      <c r="I62" s="24">
        <v>7.7899999999999997E-2</v>
      </c>
    </row>
    <row r="63" spans="2:10" ht="15" thickBot="1" x14ac:dyDescent="0.35">
      <c r="F63" s="25">
        <v>4</v>
      </c>
      <c r="G63" s="25">
        <v>6</v>
      </c>
      <c r="H63" s="25">
        <v>-0.2</v>
      </c>
      <c r="I63" s="23">
        <v>0.2387</v>
      </c>
    </row>
    <row r="64" spans="2:10" ht="15" thickBot="1" x14ac:dyDescent="0.35">
      <c r="F64" s="26">
        <v>5</v>
      </c>
      <c r="G64" s="26">
        <v>5</v>
      </c>
      <c r="H64" s="26">
        <v>0</v>
      </c>
      <c r="I64" s="24">
        <v>0.34370000000000001</v>
      </c>
    </row>
    <row r="65" spans="6:9" ht="15" thickBot="1" x14ac:dyDescent="0.35">
      <c r="F65" s="25">
        <v>6</v>
      </c>
      <c r="G65" s="25">
        <v>4</v>
      </c>
      <c r="H65" s="25">
        <v>0.2</v>
      </c>
      <c r="I65" s="23">
        <v>0.2387</v>
      </c>
    </row>
    <row r="66" spans="6:9" ht="15" thickBot="1" x14ac:dyDescent="0.35">
      <c r="F66" s="26">
        <v>7</v>
      </c>
      <c r="G66" s="26">
        <v>3</v>
      </c>
      <c r="H66" s="26">
        <v>0.4</v>
      </c>
      <c r="I66" s="24">
        <v>7.7899999999999997E-2</v>
      </c>
    </row>
    <row r="67" spans="6:9" ht="15" thickBot="1" x14ac:dyDescent="0.35">
      <c r="F67" s="27">
        <v>8</v>
      </c>
      <c r="G67" s="27">
        <v>2</v>
      </c>
      <c r="H67" s="27">
        <v>0.6</v>
      </c>
      <c r="I67" s="21">
        <v>1.0999999999999999E-2</v>
      </c>
    </row>
    <row r="68" spans="6:9" ht="15" thickBot="1" x14ac:dyDescent="0.35">
      <c r="F68" s="26">
        <v>9</v>
      </c>
      <c r="G68" s="26">
        <v>1</v>
      </c>
      <c r="H68" s="26">
        <v>0.8</v>
      </c>
      <c r="I68" s="24">
        <v>5.0000000000000001E-4</v>
      </c>
    </row>
    <row r="69" spans="6:9" ht="15" thickBot="1" x14ac:dyDescent="0.35">
      <c r="F69" s="25">
        <v>10</v>
      </c>
      <c r="G69" s="25">
        <v>0</v>
      </c>
      <c r="H69" s="25">
        <v>1</v>
      </c>
      <c r="I69" s="23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281A-E9CE-4FCD-94D3-A8F6FFEE8088}">
  <dimension ref="A1:H3"/>
  <sheetViews>
    <sheetView zoomScale="109" workbookViewId="0">
      <selection activeCell="E13" sqref="E13"/>
    </sheetView>
  </sheetViews>
  <sheetFormatPr defaultRowHeight="14.4" x14ac:dyDescent="0.3"/>
  <cols>
    <col min="2" max="2" width="9.6640625" bestFit="1" customWidth="1"/>
  </cols>
  <sheetData>
    <row r="1" spans="1:8" x14ac:dyDescent="0.3">
      <c r="A1" s="28" t="s">
        <v>17</v>
      </c>
      <c r="C1" s="36" t="s">
        <v>20</v>
      </c>
      <c r="D1" s="37" t="s">
        <v>21</v>
      </c>
      <c r="E1" s="37" t="s">
        <v>22</v>
      </c>
      <c r="F1" s="37" t="s">
        <v>23</v>
      </c>
      <c r="G1" s="37" t="s">
        <v>24</v>
      </c>
      <c r="H1" s="38" t="s">
        <v>25</v>
      </c>
    </row>
    <row r="2" spans="1:8" x14ac:dyDescent="0.3">
      <c r="B2" s="8" t="s">
        <v>19</v>
      </c>
      <c r="C2" s="33">
        <v>11</v>
      </c>
      <c r="D2" s="34">
        <v>12</v>
      </c>
      <c r="E2" s="34">
        <v>4</v>
      </c>
      <c r="F2" s="34">
        <v>14</v>
      </c>
      <c r="G2" s="34">
        <v>9</v>
      </c>
      <c r="H2" s="35">
        <v>10</v>
      </c>
    </row>
    <row r="3" spans="1:8" x14ac:dyDescent="0.3">
      <c r="B3" s="39" t="s">
        <v>18</v>
      </c>
      <c r="C3" s="40">
        <v>10</v>
      </c>
      <c r="D3" s="40">
        <v>10</v>
      </c>
      <c r="E3" s="40">
        <v>10</v>
      </c>
      <c r="F3" s="40">
        <v>10</v>
      </c>
      <c r="G3" s="40">
        <v>10</v>
      </c>
      <c r="H3" s="41">
        <v>10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7115-F5D0-40CD-9B11-16663C3988C2}">
  <dimension ref="A1:W12"/>
  <sheetViews>
    <sheetView topLeftCell="I1" zoomScale="76" zoomScaleNormal="60" workbookViewId="0">
      <selection activeCell="S4" sqref="S4"/>
    </sheetView>
  </sheetViews>
  <sheetFormatPr defaultRowHeight="14.4" x14ac:dyDescent="0.3"/>
  <cols>
    <col min="3" max="3" width="11.5546875" bestFit="1" customWidth="1"/>
    <col min="6" max="6" width="17.33203125" bestFit="1" customWidth="1"/>
    <col min="7" max="7" width="15.44140625" bestFit="1" customWidth="1"/>
    <col min="11" max="11" width="10.77734375" bestFit="1" customWidth="1"/>
    <col min="12" max="12" width="11.5546875" bestFit="1" customWidth="1"/>
    <col min="15" max="15" width="17.33203125" bestFit="1" customWidth="1"/>
    <col min="16" max="16" width="15.44140625" bestFit="1" customWidth="1"/>
  </cols>
  <sheetData>
    <row r="1" spans="1:23" x14ac:dyDescent="0.3">
      <c r="A1" s="28" t="s">
        <v>34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4</v>
      </c>
      <c r="J1" t="s">
        <v>35</v>
      </c>
      <c r="K1" t="s">
        <v>38</v>
      </c>
      <c r="R1" s="28" t="s">
        <v>42</v>
      </c>
    </row>
    <row r="2" spans="1:23" x14ac:dyDescent="0.3">
      <c r="B2" t="s">
        <v>27</v>
      </c>
      <c r="C2">
        <v>18</v>
      </c>
      <c r="D2">
        <v>9</v>
      </c>
      <c r="E2">
        <v>17</v>
      </c>
      <c r="F2">
        <v>15</v>
      </c>
      <c r="G2">
        <v>11</v>
      </c>
      <c r="H2">
        <v>70</v>
      </c>
      <c r="I2" t="s">
        <v>37</v>
      </c>
    </row>
    <row r="3" spans="1:23" x14ac:dyDescent="0.3">
      <c r="B3" t="s">
        <v>28</v>
      </c>
      <c r="C3">
        <v>13</v>
      </c>
      <c r="D3">
        <v>16</v>
      </c>
      <c r="E3">
        <v>19</v>
      </c>
      <c r="F3">
        <v>34</v>
      </c>
      <c r="G3">
        <v>8</v>
      </c>
      <c r="H3">
        <v>90</v>
      </c>
      <c r="I3" t="s">
        <v>37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S3" s="19">
        <f xml:space="preserve"> (C2-L11)^2/L11</f>
        <v>1.4519009216589862</v>
      </c>
      <c r="T3" s="19">
        <f xml:space="preserve"> (D2-M11)^2/M11</f>
        <v>0.34321428571428569</v>
      </c>
      <c r="U3" s="19">
        <f xml:space="preserve"> (E2-N11)^2/N11</f>
        <v>9.9206349206349201E-2</v>
      </c>
      <c r="V3" s="19">
        <f t="shared" ref="V3:V4" si="0" xml:space="preserve"> (F2-O11)^2/O11</f>
        <v>1.9331268221574345</v>
      </c>
      <c r="W3" s="19">
        <f xml:space="preserve"> (G2-P11)^2/P11</f>
        <v>0.86889097744360899</v>
      </c>
    </row>
    <row r="4" spans="1:23" x14ac:dyDescent="0.3">
      <c r="B4" t="s">
        <v>4</v>
      </c>
      <c r="C4">
        <v>31</v>
      </c>
      <c r="D4">
        <v>25</v>
      </c>
      <c r="E4">
        <v>36</v>
      </c>
      <c r="F4">
        <v>49</v>
      </c>
      <c r="G4">
        <v>19</v>
      </c>
      <c r="H4">
        <v>160</v>
      </c>
      <c r="K4" t="s">
        <v>27</v>
      </c>
      <c r="L4">
        <f>C4*$H2</f>
        <v>2170</v>
      </c>
      <c r="M4">
        <f>D4*$H2</f>
        <v>1750</v>
      </c>
      <c r="N4">
        <f t="shared" ref="N4:P4" si="1">E4*$H2</f>
        <v>2520</v>
      </c>
      <c r="O4">
        <f t="shared" si="1"/>
        <v>3430</v>
      </c>
      <c r="P4">
        <f t="shared" si="1"/>
        <v>1330</v>
      </c>
      <c r="S4" s="19">
        <f xml:space="preserve"> (C3-L12)^2/L12</f>
        <v>1.1292562724014337</v>
      </c>
      <c r="T4" s="19">
        <f xml:space="preserve"> (D3-M12)^2/M12</f>
        <v>0.26694444444444443</v>
      </c>
      <c r="U4" s="19">
        <f t="shared" ref="U4" si="2" xml:space="preserve"> (E3-N12)^2/N12</f>
        <v>7.716049382716049E-2</v>
      </c>
      <c r="V4" s="19">
        <f t="shared" si="0"/>
        <v>1.5035430839002268</v>
      </c>
      <c r="W4" s="19">
        <f t="shared" ref="W4" si="3" xml:space="preserve"> (G3-P12)^2/P12</f>
        <v>0.67580409356725146</v>
      </c>
    </row>
    <row r="5" spans="1:23" ht="15.6" x14ac:dyDescent="0.4">
      <c r="C5" t="s">
        <v>36</v>
      </c>
      <c r="D5" t="s">
        <v>36</v>
      </c>
      <c r="E5" t="s">
        <v>36</v>
      </c>
      <c r="F5" t="s">
        <v>36</v>
      </c>
      <c r="G5" t="s">
        <v>36</v>
      </c>
      <c r="K5" t="s">
        <v>28</v>
      </c>
      <c r="L5">
        <f>C4*$H3</f>
        <v>2790</v>
      </c>
      <c r="M5">
        <f>D4*$H3</f>
        <v>2250</v>
      </c>
      <c r="N5">
        <f t="shared" ref="N5:P5" si="4">E4*$H3</f>
        <v>3240</v>
      </c>
      <c r="O5">
        <f t="shared" si="4"/>
        <v>4410</v>
      </c>
      <c r="P5">
        <f t="shared" si="4"/>
        <v>1710</v>
      </c>
      <c r="S5" s="48" t="s">
        <v>43</v>
      </c>
      <c r="T5" s="19">
        <f>SUM(S3:W4)</f>
        <v>8.3490477443211812</v>
      </c>
    </row>
    <row r="6" spans="1:23" x14ac:dyDescent="0.3">
      <c r="S6" t="s">
        <v>52</v>
      </c>
    </row>
    <row r="7" spans="1:23" x14ac:dyDescent="0.3">
      <c r="K7" t="s">
        <v>41</v>
      </c>
    </row>
    <row r="8" spans="1:23" x14ac:dyDescent="0.3">
      <c r="K8" t="s">
        <v>40</v>
      </c>
      <c r="L8" t="s">
        <v>39</v>
      </c>
    </row>
    <row r="10" spans="1:23" x14ac:dyDescent="0.3">
      <c r="L10" s="1" t="s">
        <v>29</v>
      </c>
      <c r="M10" s="2" t="s">
        <v>30</v>
      </c>
      <c r="N10" s="2" t="s">
        <v>31</v>
      </c>
      <c r="O10" s="2" t="s">
        <v>32</v>
      </c>
      <c r="P10" s="3" t="s">
        <v>33</v>
      </c>
    </row>
    <row r="11" spans="1:23" x14ac:dyDescent="0.3">
      <c r="K11" s="8" t="s">
        <v>27</v>
      </c>
      <c r="L11" s="42">
        <f>L4/$H$4</f>
        <v>13.5625</v>
      </c>
      <c r="M11" s="43">
        <f>M4/$H$4</f>
        <v>10.9375</v>
      </c>
      <c r="N11" s="10">
        <f>N4/$H$4</f>
        <v>15.75</v>
      </c>
      <c r="O11" s="43">
        <f t="shared" ref="O11:P11" si="5">O4/$H$4</f>
        <v>21.4375</v>
      </c>
      <c r="P11" s="44">
        <f t="shared" si="5"/>
        <v>8.3125</v>
      </c>
    </row>
    <row r="12" spans="1:23" x14ac:dyDescent="0.3">
      <c r="K12" s="32" t="s">
        <v>28</v>
      </c>
      <c r="L12" s="45">
        <f>L5/$H$4</f>
        <v>17.4375</v>
      </c>
      <c r="M12" s="46">
        <f>M5/$H$4</f>
        <v>14.0625</v>
      </c>
      <c r="N12" s="31">
        <f t="shared" ref="N12:P12" si="6">N5/$H$4</f>
        <v>20.25</v>
      </c>
      <c r="O12" s="46">
        <f t="shared" si="6"/>
        <v>27.5625</v>
      </c>
      <c r="P12" s="47">
        <f t="shared" si="6"/>
        <v>10.6875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A6AEF-2D69-4221-BEA5-A820BB2C483D}">
  <dimension ref="A1:L13"/>
  <sheetViews>
    <sheetView topLeftCell="F1" zoomScale="80" workbookViewId="0">
      <selection activeCell="H4" sqref="H4"/>
    </sheetView>
  </sheetViews>
  <sheetFormatPr defaultRowHeight="14.4" x14ac:dyDescent="0.3"/>
  <cols>
    <col min="1" max="1" width="13.44140625" bestFit="1" customWidth="1"/>
    <col min="3" max="3" width="9.44140625" bestFit="1" customWidth="1"/>
    <col min="4" max="4" width="13.44140625" bestFit="1" customWidth="1"/>
    <col min="8" max="8" width="9.44140625" bestFit="1" customWidth="1"/>
    <col min="9" max="9" width="13.44140625" bestFit="1" customWidth="1"/>
  </cols>
  <sheetData>
    <row r="1" spans="1:12" x14ac:dyDescent="0.3">
      <c r="A1" t="s">
        <v>26</v>
      </c>
    </row>
    <row r="2" spans="1:12" x14ac:dyDescent="0.3">
      <c r="C2" t="s">
        <v>46</v>
      </c>
      <c r="D2" t="s">
        <v>47</v>
      </c>
      <c r="E2" t="s">
        <v>4</v>
      </c>
    </row>
    <row r="3" spans="1:12" x14ac:dyDescent="0.3">
      <c r="B3" t="s">
        <v>44</v>
      </c>
      <c r="C3">
        <v>21</v>
      </c>
      <c r="D3">
        <v>3</v>
      </c>
      <c r="E3">
        <v>24</v>
      </c>
      <c r="H3" s="1" t="s">
        <v>46</v>
      </c>
      <c r="I3" s="3" t="s">
        <v>47</v>
      </c>
    </row>
    <row r="4" spans="1:12" x14ac:dyDescent="0.3">
      <c r="B4" t="s">
        <v>45</v>
      </c>
      <c r="C4">
        <v>13</v>
      </c>
      <c r="D4">
        <v>11</v>
      </c>
      <c r="E4">
        <v>24</v>
      </c>
      <c r="G4" s="8" t="s">
        <v>44</v>
      </c>
      <c r="H4" s="9">
        <f>C5*$E$3/$E$5</f>
        <v>17</v>
      </c>
      <c r="I4" s="11">
        <f>D5*$E$3/$E$5</f>
        <v>7</v>
      </c>
    </row>
    <row r="5" spans="1:12" x14ac:dyDescent="0.3">
      <c r="B5" t="s">
        <v>4</v>
      </c>
      <c r="C5">
        <v>34</v>
      </c>
      <c r="D5">
        <v>14</v>
      </c>
      <c r="E5">
        <v>48</v>
      </c>
      <c r="G5" s="32" t="s">
        <v>45</v>
      </c>
      <c r="H5" s="29">
        <f>C5*$E$4/$E$5</f>
        <v>17</v>
      </c>
      <c r="I5" s="30">
        <f>D5*$E$4/$E$5</f>
        <v>7</v>
      </c>
    </row>
    <row r="7" spans="1:12" x14ac:dyDescent="0.3">
      <c r="B7" t="s">
        <v>48</v>
      </c>
      <c r="C7" t="s">
        <v>49</v>
      </c>
      <c r="E7" t="s">
        <v>51</v>
      </c>
      <c r="I7" s="19">
        <f>(C3-H4)^2/H4</f>
        <v>0.94117647058823528</v>
      </c>
      <c r="J7" s="19">
        <f>(C4-H5)^2/H5</f>
        <v>0.94117647058823528</v>
      </c>
      <c r="K7" s="19">
        <f>(D3-I4)^2/I4</f>
        <v>2.2857142857142856</v>
      </c>
      <c r="L7" s="19">
        <f>(D4-I5)^2/I5</f>
        <v>2.2857142857142856</v>
      </c>
    </row>
    <row r="8" spans="1:12" ht="15.6" x14ac:dyDescent="0.4">
      <c r="A8" t="s">
        <v>46</v>
      </c>
      <c r="B8" s="19">
        <f>C3/C5</f>
        <v>0.61764705882352944</v>
      </c>
      <c r="C8" s="19">
        <f>C4/C5</f>
        <v>0.38235294117647056</v>
      </c>
      <c r="E8" s="19">
        <f>B8-C8</f>
        <v>0.23529411764705888</v>
      </c>
      <c r="H8" s="48" t="s">
        <v>43</v>
      </c>
      <c r="I8" s="19">
        <f>SUM(I7:L7)</f>
        <v>6.4537815126050413</v>
      </c>
    </row>
    <row r="9" spans="1:12" x14ac:dyDescent="0.3">
      <c r="A9" t="s">
        <v>50</v>
      </c>
      <c r="B9" s="19">
        <f>D3/D5</f>
        <v>0.21428571428571427</v>
      </c>
      <c r="C9" s="19">
        <f>D4/D5</f>
        <v>0.7857142857142857</v>
      </c>
    </row>
    <row r="11" spans="1:12" x14ac:dyDescent="0.3">
      <c r="C11" t="s">
        <v>46</v>
      </c>
      <c r="D11" t="s">
        <v>50</v>
      </c>
    </row>
    <row r="12" spans="1:12" x14ac:dyDescent="0.3">
      <c r="B12" t="s">
        <v>48</v>
      </c>
      <c r="C12" s="49">
        <f>C3/C5</f>
        <v>0.61764705882352944</v>
      </c>
      <c r="D12" s="49">
        <f>D3/D5</f>
        <v>0.21428571428571427</v>
      </c>
    </row>
    <row r="13" spans="1:12" x14ac:dyDescent="0.3">
      <c r="B13" t="s">
        <v>49</v>
      </c>
      <c r="C13" s="49">
        <f>C4/C5</f>
        <v>0.38235294117647056</v>
      </c>
      <c r="D13" s="49">
        <f>D4/D5</f>
        <v>0.7857142857142857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1472-596D-4BD3-8CCF-E6F68B757FC6}">
  <dimension ref="A1:AD22"/>
  <sheetViews>
    <sheetView tabSelected="1" topLeftCell="Q1" zoomScale="120" zoomScaleNormal="120" workbookViewId="0">
      <selection activeCell="D17" sqref="D17"/>
    </sheetView>
  </sheetViews>
  <sheetFormatPr defaultRowHeight="14.4" x14ac:dyDescent="0.3"/>
  <cols>
    <col min="2" max="2" width="3.77734375" bestFit="1" customWidth="1"/>
    <col min="10" max="10" width="5.77734375" customWidth="1"/>
    <col min="11" max="11" width="8.44140625" bestFit="1" customWidth="1"/>
    <col min="18" max="18" width="3.5546875" bestFit="1" customWidth="1"/>
    <col min="19" max="19" width="9.5546875" bestFit="1" customWidth="1"/>
    <col min="26" max="26" width="3.5546875" bestFit="1" customWidth="1"/>
    <col min="27" max="27" width="9.5546875" bestFit="1" customWidth="1"/>
  </cols>
  <sheetData>
    <row r="1" spans="1:30" x14ac:dyDescent="0.3">
      <c r="A1" s="28" t="s">
        <v>60</v>
      </c>
      <c r="I1" s="28" t="s">
        <v>61</v>
      </c>
      <c r="J1" s="28"/>
      <c r="Q1" t="s">
        <v>62</v>
      </c>
      <c r="Y1" t="s">
        <v>69</v>
      </c>
    </row>
    <row r="2" spans="1:30" x14ac:dyDescent="0.3">
      <c r="A2" s="28"/>
      <c r="B2" s="59"/>
      <c r="C2" s="59"/>
      <c r="D2" s="98" t="s">
        <v>59</v>
      </c>
      <c r="E2" s="99"/>
      <c r="F2" s="100"/>
      <c r="G2" s="50"/>
      <c r="J2" s="51"/>
      <c r="K2" s="51"/>
      <c r="L2" s="104" t="s">
        <v>54</v>
      </c>
      <c r="M2" s="105"/>
      <c r="N2" s="106"/>
      <c r="O2" s="51"/>
      <c r="S2" s="51"/>
      <c r="T2" s="104" t="s">
        <v>54</v>
      </c>
      <c r="U2" s="105"/>
      <c r="V2" s="106"/>
      <c r="W2" s="51"/>
      <c r="Z2" s="59"/>
      <c r="AA2" s="59"/>
      <c r="AB2" s="98" t="s">
        <v>65</v>
      </c>
      <c r="AC2" s="100"/>
    </row>
    <row r="3" spans="1:30" ht="14.4" customHeight="1" x14ac:dyDescent="0.3">
      <c r="B3" s="59"/>
      <c r="C3" s="59"/>
      <c r="D3" s="63" t="s">
        <v>53</v>
      </c>
      <c r="E3" s="65" t="s">
        <v>57</v>
      </c>
      <c r="F3" s="64" t="s">
        <v>58</v>
      </c>
      <c r="G3" s="64" t="s">
        <v>4</v>
      </c>
      <c r="J3" s="51"/>
      <c r="K3" s="51"/>
      <c r="L3" s="60" t="s">
        <v>53</v>
      </c>
      <c r="M3" s="61" t="s">
        <v>55</v>
      </c>
      <c r="N3" s="62" t="s">
        <v>56</v>
      </c>
      <c r="O3" s="68" t="s">
        <v>4</v>
      </c>
      <c r="S3" s="51"/>
      <c r="T3" s="63" t="s">
        <v>53</v>
      </c>
      <c r="U3" s="65" t="s">
        <v>55</v>
      </c>
      <c r="V3" s="65" t="s">
        <v>56</v>
      </c>
      <c r="W3" s="71" t="s">
        <v>4</v>
      </c>
      <c r="Z3" s="59"/>
      <c r="AA3" s="59"/>
      <c r="AB3" s="63" t="s">
        <v>70</v>
      </c>
      <c r="AC3" s="65" t="s">
        <v>64</v>
      </c>
      <c r="AD3" s="71" t="s">
        <v>4</v>
      </c>
    </row>
    <row r="4" spans="1:30" ht="14.4" customHeight="1" x14ac:dyDescent="0.3">
      <c r="B4" s="95" t="s">
        <v>54</v>
      </c>
      <c r="C4" s="72" t="s">
        <v>53</v>
      </c>
      <c r="D4" s="54">
        <v>24</v>
      </c>
      <c r="E4" s="55">
        <v>5</v>
      </c>
      <c r="F4" s="55">
        <v>3</v>
      </c>
      <c r="G4" s="73">
        <f>D4+E4+F4</f>
        <v>32</v>
      </c>
      <c r="J4" s="101" t="s">
        <v>65</v>
      </c>
      <c r="K4" s="107" t="s">
        <v>63</v>
      </c>
      <c r="L4" s="112">
        <v>1</v>
      </c>
      <c r="M4" s="114">
        <v>0</v>
      </c>
      <c r="N4" s="114">
        <v>2</v>
      </c>
      <c r="O4" s="110">
        <f>L4+M4+N4</f>
        <v>3</v>
      </c>
      <c r="R4" s="95" t="s">
        <v>66</v>
      </c>
      <c r="S4" s="107" t="s">
        <v>67</v>
      </c>
      <c r="T4" s="112">
        <v>10</v>
      </c>
      <c r="U4" s="114">
        <v>5</v>
      </c>
      <c r="V4" s="114">
        <v>10</v>
      </c>
      <c r="W4" s="111">
        <f>V4+U4+T4</f>
        <v>25</v>
      </c>
      <c r="Z4" s="95" t="s">
        <v>66</v>
      </c>
      <c r="AA4" s="110" t="s">
        <v>67</v>
      </c>
      <c r="AB4" s="118">
        <v>0</v>
      </c>
      <c r="AC4" s="122">
        <v>25</v>
      </c>
      <c r="AD4" s="111">
        <f>AC4+AB4</f>
        <v>25</v>
      </c>
    </row>
    <row r="5" spans="1:30" x14ac:dyDescent="0.3">
      <c r="B5" s="96"/>
      <c r="C5" s="74" t="s">
        <v>55</v>
      </c>
      <c r="D5" s="66">
        <v>8</v>
      </c>
      <c r="E5" s="67">
        <v>0</v>
      </c>
      <c r="F5" s="67">
        <v>4</v>
      </c>
      <c r="G5" s="74">
        <f t="shared" ref="G5:G6" si="0">D5+E5+F5</f>
        <v>12</v>
      </c>
      <c r="J5" s="102"/>
      <c r="K5" s="108"/>
      <c r="L5" s="113"/>
      <c r="M5" s="115"/>
      <c r="N5" s="115"/>
      <c r="O5" s="111"/>
      <c r="R5" s="96"/>
      <c r="S5" s="108"/>
      <c r="T5" s="113"/>
      <c r="U5" s="115"/>
      <c r="V5" s="115"/>
      <c r="W5" s="111"/>
      <c r="Z5" s="96"/>
      <c r="AA5" s="111"/>
      <c r="AB5" s="119"/>
      <c r="AC5" s="123"/>
      <c r="AD5" s="111"/>
    </row>
    <row r="6" spans="1:30" x14ac:dyDescent="0.3">
      <c r="B6" s="97"/>
      <c r="C6" s="75" t="s">
        <v>56</v>
      </c>
      <c r="D6" s="56">
        <v>11</v>
      </c>
      <c r="E6" s="57">
        <v>3</v>
      </c>
      <c r="F6" s="57">
        <v>7</v>
      </c>
      <c r="G6" s="76">
        <f t="shared" si="0"/>
        <v>21</v>
      </c>
      <c r="J6" s="102"/>
      <c r="K6" s="109" t="s">
        <v>64</v>
      </c>
      <c r="L6" s="116">
        <v>31</v>
      </c>
      <c r="M6" s="117">
        <v>12</v>
      </c>
      <c r="N6" s="117">
        <v>19</v>
      </c>
      <c r="O6" s="109">
        <f>N6+M6+L6</f>
        <v>62</v>
      </c>
      <c r="R6" s="96"/>
      <c r="S6" s="109" t="s">
        <v>68</v>
      </c>
      <c r="T6" s="116">
        <v>22</v>
      </c>
      <c r="U6" s="117">
        <v>7</v>
      </c>
      <c r="V6" s="117">
        <v>11</v>
      </c>
      <c r="W6" s="109">
        <f>V6+U6+T6</f>
        <v>40</v>
      </c>
      <c r="Z6" s="96"/>
      <c r="AA6" s="109" t="s">
        <v>68</v>
      </c>
      <c r="AB6" s="116">
        <v>3</v>
      </c>
      <c r="AC6" s="117">
        <v>37</v>
      </c>
      <c r="AD6" s="109">
        <f>AC6+AB6</f>
        <v>40</v>
      </c>
    </row>
    <row r="7" spans="1:30" x14ac:dyDescent="0.3">
      <c r="B7" s="50"/>
      <c r="C7" s="71" t="s">
        <v>4</v>
      </c>
      <c r="D7" s="63">
        <f>D4+D5+D6</f>
        <v>43</v>
      </c>
      <c r="E7" s="65">
        <f t="shared" ref="E7:G7" si="1">E4+E5+E6</f>
        <v>8</v>
      </c>
      <c r="F7" s="65">
        <f t="shared" si="1"/>
        <v>14</v>
      </c>
      <c r="G7" s="71">
        <f t="shared" si="1"/>
        <v>65</v>
      </c>
      <c r="J7" s="103"/>
      <c r="K7" s="109"/>
      <c r="L7" s="116"/>
      <c r="M7" s="117"/>
      <c r="N7" s="117"/>
      <c r="O7" s="109"/>
      <c r="R7" s="97"/>
      <c r="S7" s="109"/>
      <c r="T7" s="116"/>
      <c r="U7" s="117"/>
      <c r="V7" s="117"/>
      <c r="W7" s="109"/>
      <c r="Z7" s="97"/>
      <c r="AA7" s="109"/>
      <c r="AB7" s="116"/>
      <c r="AC7" s="117"/>
      <c r="AD7" s="109"/>
    </row>
    <row r="8" spans="1:30" x14ac:dyDescent="0.3">
      <c r="J8" s="51"/>
      <c r="K8" s="69" t="s">
        <v>4</v>
      </c>
      <c r="L8" s="53">
        <f>L6+L4</f>
        <v>32</v>
      </c>
      <c r="M8" s="53">
        <f t="shared" ref="M8:O8" si="2">M6+M4</f>
        <v>12</v>
      </c>
      <c r="N8" s="53">
        <f t="shared" si="2"/>
        <v>21</v>
      </c>
      <c r="O8" s="69">
        <f t="shared" si="2"/>
        <v>65</v>
      </c>
      <c r="S8" s="70" t="s">
        <v>4</v>
      </c>
      <c r="T8" s="52">
        <f>T6+T4</f>
        <v>32</v>
      </c>
      <c r="U8" s="52">
        <f t="shared" ref="U8:W8" si="3">U6+U4</f>
        <v>12</v>
      </c>
      <c r="V8" s="52">
        <f t="shared" si="3"/>
        <v>21</v>
      </c>
      <c r="W8" s="70">
        <f t="shared" si="3"/>
        <v>65</v>
      </c>
      <c r="AA8" s="70" t="s">
        <v>4</v>
      </c>
      <c r="AB8" s="52">
        <f>AB6+AB4</f>
        <v>3</v>
      </c>
      <c r="AC8" s="52">
        <f>AC6+AC4</f>
        <v>62</v>
      </c>
      <c r="AD8" s="70">
        <f>AD6+AD4</f>
        <v>65</v>
      </c>
    </row>
    <row r="9" spans="1:30" x14ac:dyDescent="0.3">
      <c r="C9" t="s">
        <v>71</v>
      </c>
    </row>
    <row r="10" spans="1:30" x14ac:dyDescent="0.3">
      <c r="B10" s="59"/>
      <c r="C10" s="59"/>
      <c r="D10" s="98" t="s">
        <v>59</v>
      </c>
      <c r="E10" s="99"/>
      <c r="F10" s="100"/>
      <c r="K10" t="s">
        <v>71</v>
      </c>
      <c r="S10" t="s">
        <v>71</v>
      </c>
      <c r="AA10" t="s">
        <v>71</v>
      </c>
    </row>
    <row r="11" spans="1:30" x14ac:dyDescent="0.3">
      <c r="B11" s="59"/>
      <c r="C11" s="59"/>
      <c r="D11" s="80" t="s">
        <v>53</v>
      </c>
      <c r="E11" s="79" t="s">
        <v>57</v>
      </c>
      <c r="F11" s="81" t="s">
        <v>58</v>
      </c>
      <c r="J11" s="51"/>
      <c r="K11" s="51"/>
      <c r="L11" s="104" t="s">
        <v>54</v>
      </c>
      <c r="M11" s="105"/>
      <c r="N11" s="106"/>
      <c r="O11" s="51"/>
      <c r="S11" s="51"/>
      <c r="T11" s="104" t="s">
        <v>54</v>
      </c>
      <c r="U11" s="105"/>
      <c r="V11" s="106"/>
      <c r="Z11" s="59"/>
      <c r="AA11" s="59"/>
      <c r="AB11" s="98" t="s">
        <v>65</v>
      </c>
      <c r="AC11" s="100"/>
    </row>
    <row r="12" spans="1:30" x14ac:dyDescent="0.3">
      <c r="B12" s="95" t="s">
        <v>54</v>
      </c>
      <c r="C12" s="54" t="s">
        <v>53</v>
      </c>
      <c r="D12" s="77">
        <f>D7*$G$4/$G$7</f>
        <v>21.169230769230769</v>
      </c>
      <c r="E12" s="78">
        <f>E7*$G$4/$G$7</f>
        <v>3.9384615384615387</v>
      </c>
      <c r="F12" s="82">
        <f>F7*$G$4/$G$7</f>
        <v>6.8923076923076927</v>
      </c>
      <c r="J12" s="51"/>
      <c r="K12" s="51"/>
      <c r="L12" s="92" t="s">
        <v>53</v>
      </c>
      <c r="M12" s="93" t="s">
        <v>55</v>
      </c>
      <c r="N12" s="93" t="s">
        <v>56</v>
      </c>
      <c r="O12" s="89"/>
      <c r="S12" s="51"/>
      <c r="T12" s="63" t="s">
        <v>53</v>
      </c>
      <c r="U12" s="65" t="s">
        <v>55</v>
      </c>
      <c r="V12" s="64" t="s">
        <v>56</v>
      </c>
      <c r="Z12" s="59"/>
      <c r="AA12" s="59"/>
      <c r="AB12" s="63" t="s">
        <v>70</v>
      </c>
      <c r="AC12" s="64" t="s">
        <v>64</v>
      </c>
    </row>
    <row r="13" spans="1:30" x14ac:dyDescent="0.3">
      <c r="B13" s="96"/>
      <c r="C13" s="66" t="s">
        <v>55</v>
      </c>
      <c r="D13" s="83">
        <f>D7*$G$5/$G$7</f>
        <v>7.9384615384615387</v>
      </c>
      <c r="E13" s="84">
        <f t="shared" ref="E13:F13" si="4">E7*$G$5/$G$7</f>
        <v>1.476923076923077</v>
      </c>
      <c r="F13" s="85">
        <f t="shared" si="4"/>
        <v>2.5846153846153848</v>
      </c>
      <c r="J13" s="101" t="s">
        <v>65</v>
      </c>
      <c r="K13" s="112" t="s">
        <v>63</v>
      </c>
      <c r="L13" s="120">
        <f>L8*$O$4/$O$8</f>
        <v>1.476923076923077</v>
      </c>
      <c r="M13" s="124">
        <f>M8*$O$4/$O$8</f>
        <v>0.55384615384615388</v>
      </c>
      <c r="N13" s="126">
        <f>N8*$O$4/$O$8</f>
        <v>0.96923076923076923</v>
      </c>
      <c r="O13" s="90"/>
      <c r="R13" s="95" t="s">
        <v>66</v>
      </c>
      <c r="S13" s="107" t="s">
        <v>67</v>
      </c>
      <c r="T13" s="120">
        <f>T8*$W$4/$W$8</f>
        <v>12.307692307692308</v>
      </c>
      <c r="U13" s="124">
        <f t="shared" ref="U13:V13" si="5">U8*$W$4/$W$8</f>
        <v>4.615384615384615</v>
      </c>
      <c r="V13" s="126">
        <f t="shared" si="5"/>
        <v>8.0769230769230766</v>
      </c>
      <c r="Z13" s="95" t="s">
        <v>66</v>
      </c>
      <c r="AA13" s="118" t="s">
        <v>67</v>
      </c>
      <c r="AB13" s="136">
        <f>AB8*$AD$4/$AD$8</f>
        <v>1.1538461538461537</v>
      </c>
      <c r="AC13" s="138">
        <f>AC8*$AD$4/$AD$8</f>
        <v>23.846153846153847</v>
      </c>
    </row>
    <row r="14" spans="1:30" x14ac:dyDescent="0.3">
      <c r="B14" s="97"/>
      <c r="C14" s="58" t="s">
        <v>56</v>
      </c>
      <c r="D14" s="86">
        <f>D7*$G$6/$G$7</f>
        <v>13.892307692307693</v>
      </c>
      <c r="E14" s="87">
        <f t="shared" ref="E14:F14" si="6">E7*$G$6/$G$7</f>
        <v>2.5846153846153848</v>
      </c>
      <c r="F14" s="88">
        <f t="shared" si="6"/>
        <v>4.523076923076923</v>
      </c>
      <c r="J14" s="102"/>
      <c r="K14" s="113"/>
      <c r="L14" s="121"/>
      <c r="M14" s="125"/>
      <c r="N14" s="127"/>
      <c r="O14" s="90"/>
      <c r="R14" s="96"/>
      <c r="S14" s="108"/>
      <c r="T14" s="121"/>
      <c r="U14" s="125"/>
      <c r="V14" s="127"/>
      <c r="Z14" s="96"/>
      <c r="AA14" s="119"/>
      <c r="AB14" s="137"/>
      <c r="AC14" s="139"/>
    </row>
    <row r="15" spans="1:30" x14ac:dyDescent="0.3">
      <c r="J15" s="102"/>
      <c r="K15" s="116" t="s">
        <v>64</v>
      </c>
      <c r="L15" s="129">
        <f>L8*$O$6/$O$8</f>
        <v>30.523076923076925</v>
      </c>
      <c r="M15" s="131">
        <f>M8*$O$6/$O$8</f>
        <v>11.446153846153846</v>
      </c>
      <c r="N15" s="133">
        <f t="shared" ref="N15" si="7">N8*$O$6/$O$8</f>
        <v>20.030769230769231</v>
      </c>
      <c r="O15" s="90"/>
      <c r="R15" s="96"/>
      <c r="S15" s="109" t="s">
        <v>68</v>
      </c>
      <c r="T15" s="129">
        <f>T8*$W$6/$W$8</f>
        <v>19.692307692307693</v>
      </c>
      <c r="U15" s="131">
        <f t="shared" ref="U15:V15" si="8">U8*$W$6/$W$8</f>
        <v>7.384615384615385</v>
      </c>
      <c r="V15" s="133">
        <f t="shared" si="8"/>
        <v>12.923076923076923</v>
      </c>
      <c r="Z15" s="96"/>
      <c r="AA15" s="116" t="s">
        <v>68</v>
      </c>
      <c r="AB15" s="129">
        <f>AB8*$AD$6/$AD$8</f>
        <v>1.8461538461538463</v>
      </c>
      <c r="AC15" s="133">
        <f>AC8*$AD$6/$AD$8</f>
        <v>38.153846153846153</v>
      </c>
    </row>
    <row r="16" spans="1:30" x14ac:dyDescent="0.3">
      <c r="C16" s="94" t="s">
        <v>72</v>
      </c>
      <c r="J16" s="103"/>
      <c r="K16" s="128"/>
      <c r="L16" s="130"/>
      <c r="M16" s="132"/>
      <c r="N16" s="134"/>
      <c r="O16" s="90"/>
      <c r="R16" s="97"/>
      <c r="S16" s="135"/>
      <c r="T16" s="130"/>
      <c r="U16" s="132"/>
      <c r="V16" s="134"/>
      <c r="Z16" s="97"/>
      <c r="AA16" s="128"/>
      <c r="AB16" s="130"/>
      <c r="AC16" s="134"/>
    </row>
    <row r="17" spans="3:29" x14ac:dyDescent="0.3">
      <c r="D17" s="19">
        <f>(D4-D12)^2/D12</f>
        <v>0.37853309481216474</v>
      </c>
      <c r="E17" s="19">
        <f>(E4-E12)^2/E12</f>
        <v>0.28611778846153829</v>
      </c>
      <c r="F17" s="19">
        <f>(F4-F12)^2/F12</f>
        <v>2.1981112637362639</v>
      </c>
      <c r="J17" s="51"/>
      <c r="K17" s="91"/>
      <c r="L17" s="91"/>
      <c r="M17" s="91"/>
      <c r="N17" s="91"/>
      <c r="O17" s="89"/>
    </row>
    <row r="18" spans="3:29" x14ac:dyDescent="0.3">
      <c r="D18" s="19">
        <f t="shared" ref="D18:D19" si="9">(D5-D13)^2/D13</f>
        <v>4.7704233750745038E-4</v>
      </c>
      <c r="E18" s="19">
        <f t="shared" ref="E18:F18" si="10">(E5-E13)^2/E13</f>
        <v>1.476923076923077</v>
      </c>
      <c r="F18" s="19">
        <f t="shared" si="10"/>
        <v>0.77509157509157478</v>
      </c>
      <c r="K18" s="94" t="s">
        <v>72</v>
      </c>
      <c r="S18" s="94" t="s">
        <v>72</v>
      </c>
      <c r="AA18" s="94" t="s">
        <v>72</v>
      </c>
    </row>
    <row r="19" spans="3:29" x14ac:dyDescent="0.3">
      <c r="D19" s="19">
        <f t="shared" si="9"/>
        <v>0.60216372774512328</v>
      </c>
      <c r="E19" s="19">
        <f>(E6-E14)^2/E14</f>
        <v>6.6758241758241701E-2</v>
      </c>
      <c r="F19" s="19">
        <f t="shared" ref="F19" si="11">(F6-F14)^2/F14</f>
        <v>1.3564102564102565</v>
      </c>
      <c r="L19" s="19">
        <f>(L4-L13)^2/L13</f>
        <v>0.15400641025641029</v>
      </c>
      <c r="M19" s="19">
        <f t="shared" ref="M19:N19" si="12">(M4-M13)^2/M13</f>
        <v>0.55384615384615388</v>
      </c>
      <c r="N19" s="19">
        <f t="shared" si="12"/>
        <v>1.0962148962148959</v>
      </c>
      <c r="T19" s="19">
        <f>(T4-T13)^2/T13</f>
        <v>0.43269230769230793</v>
      </c>
      <c r="U19" s="19">
        <f t="shared" ref="U19:V19" si="13">(U4-U13)^2/U13</f>
        <v>3.2051282051282125E-2</v>
      </c>
      <c r="V19" s="19">
        <f t="shared" si="13"/>
        <v>0.45787545787545803</v>
      </c>
      <c r="AB19" s="19">
        <f>(AB4-AB13)^2/AB13</f>
        <v>1.1538461538461537</v>
      </c>
      <c r="AC19" s="19">
        <f>(AC4-AC13)^2/AC13</f>
        <v>5.5831265508684814E-2</v>
      </c>
    </row>
    <row r="20" spans="3:29" x14ac:dyDescent="0.3">
      <c r="L20" s="19">
        <f>(L6-L15)^2/L15</f>
        <v>7.4519230769230236E-3</v>
      </c>
      <c r="M20" s="19">
        <f t="shared" ref="M20:N20" si="14">(M6-M15)^2/M15</f>
        <v>2.6799007444168715E-2</v>
      </c>
      <c r="N20" s="19">
        <f t="shared" si="14"/>
        <v>5.3042656268462711E-2</v>
      </c>
      <c r="T20" s="19">
        <f>(T6-T15)^2/T15</f>
        <v>0.27043269230769207</v>
      </c>
      <c r="U20" s="19">
        <f t="shared" ref="U20:V20" si="15">(U6-U15)^2/U15</f>
        <v>2.0032051282051322E-2</v>
      </c>
      <c r="V20" s="19">
        <f t="shared" si="15"/>
        <v>0.28617216117216121</v>
      </c>
      <c r="AB20" s="19">
        <f>(AB6-AB15)^2/AB15</f>
        <v>0.72115384615384592</v>
      </c>
      <c r="AC20" s="19">
        <f>(AC6-AC15)^2/AC15</f>
        <v>3.4894540942928008E-2</v>
      </c>
    </row>
    <row r="21" spans="3:29" x14ac:dyDescent="0.3">
      <c r="C21" s="19">
        <f>SUM(D17:F19)</f>
        <v>7.1405860672757484</v>
      </c>
    </row>
    <row r="22" spans="3:29" x14ac:dyDescent="0.3">
      <c r="K22" s="19">
        <f>SUM(L19:N20)</f>
        <v>1.8913610471070144</v>
      </c>
      <c r="S22" s="19">
        <f>SUM(T19:V20)</f>
        <v>1.4992559523809528</v>
      </c>
      <c r="AA22" s="19">
        <f>SUM(AB19:AC20)</f>
        <v>1.9657258064516123</v>
      </c>
      <c r="AB22" t="s">
        <v>73</v>
      </c>
    </row>
  </sheetData>
  <mergeCells count="66">
    <mergeCell ref="AB11:AC11"/>
    <mergeCell ref="Z13:Z16"/>
    <mergeCell ref="AA13:AA14"/>
    <mergeCell ref="AB13:AB14"/>
    <mergeCell ref="AC13:AC14"/>
    <mergeCell ref="AA15:AA16"/>
    <mergeCell ref="AB15:AB16"/>
    <mergeCell ref="AC15:AC16"/>
    <mergeCell ref="T11:V11"/>
    <mergeCell ref="R13:R16"/>
    <mergeCell ref="S13:S14"/>
    <mergeCell ref="T13:T14"/>
    <mergeCell ref="U13:U14"/>
    <mergeCell ref="V13:V14"/>
    <mergeCell ref="S15:S16"/>
    <mergeCell ref="T15:T16"/>
    <mergeCell ref="U15:U16"/>
    <mergeCell ref="V15:V16"/>
    <mergeCell ref="AD4:AD5"/>
    <mergeCell ref="AD6:AD7"/>
    <mergeCell ref="D10:F10"/>
    <mergeCell ref="AC4:AC5"/>
    <mergeCell ref="AC6:AC7"/>
    <mergeCell ref="K4:K5"/>
    <mergeCell ref="K6:K7"/>
    <mergeCell ref="B12:B14"/>
    <mergeCell ref="L11:N11"/>
    <mergeCell ref="J13:J16"/>
    <mergeCell ref="K13:K14"/>
    <mergeCell ref="L13:L14"/>
    <mergeCell ref="M13:M14"/>
    <mergeCell ref="N13:N14"/>
    <mergeCell ref="K15:K16"/>
    <mergeCell ref="L15:L16"/>
    <mergeCell ref="M15:M16"/>
    <mergeCell ref="N15:N16"/>
    <mergeCell ref="T2:V2"/>
    <mergeCell ref="Z4:Z7"/>
    <mergeCell ref="AA4:AA5"/>
    <mergeCell ref="AA6:AA7"/>
    <mergeCell ref="AB4:AB5"/>
    <mergeCell ref="AB6:AB7"/>
    <mergeCell ref="AB2:AC2"/>
    <mergeCell ref="T4:T5"/>
    <mergeCell ref="T6:T7"/>
    <mergeCell ref="U4:U5"/>
    <mergeCell ref="U6:U7"/>
    <mergeCell ref="V4:V5"/>
    <mergeCell ref="V6:V7"/>
    <mergeCell ref="W4:W5"/>
    <mergeCell ref="W6:W7"/>
    <mergeCell ref="S4:S5"/>
    <mergeCell ref="S6:S7"/>
    <mergeCell ref="O4:O5"/>
    <mergeCell ref="O6:O7"/>
    <mergeCell ref="L4:L5"/>
    <mergeCell ref="M4:M5"/>
    <mergeCell ref="N4:N5"/>
    <mergeCell ref="L6:L7"/>
    <mergeCell ref="M6:M7"/>
    <mergeCell ref="N6:N7"/>
    <mergeCell ref="B4:B6"/>
    <mergeCell ref="D2:F2"/>
    <mergeCell ref="J4:J7"/>
    <mergeCell ref="L2:N2"/>
    <mergeCell ref="R4:R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Problema 1</vt:lpstr>
      <vt:lpstr>Problema 2</vt:lpstr>
      <vt:lpstr>Problema 3</vt:lpstr>
      <vt:lpstr>Problema 4</vt:lpstr>
      <vt:lpstr>Problema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 Lissa Shinosaki Izawa</dc:creator>
  <cp:lastModifiedBy>Nathaly Lissa Shinosaki Izawa</cp:lastModifiedBy>
  <dcterms:created xsi:type="dcterms:W3CDTF">2020-06-03T19:39:48Z</dcterms:created>
  <dcterms:modified xsi:type="dcterms:W3CDTF">2020-06-21T15:40:35Z</dcterms:modified>
</cp:coreProperties>
</file>